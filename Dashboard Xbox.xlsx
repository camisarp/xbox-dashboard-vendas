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slicers/slicer3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slicers/slicer4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6.xml" ContentType="application/vnd.openxmlformats-officedocument.themeOverride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Aulas Santander\"/>
    </mc:Choice>
  </mc:AlternateContent>
  <xr:revisionPtr revIDLastSave="0" documentId="13_ncr:1_{B2F86451-00BB-4712-8E45-78B338C7DEEB}" xr6:coauthVersionLast="47" xr6:coauthVersionMax="47" xr10:uidLastSave="{00000000-0000-0000-0000-000000000000}"/>
  <bookViews>
    <workbookView xWindow="-110" yWindow="-110" windowWidth="19420" windowHeight="10300" tabRatio="0" xr2:uid="{099E0ACC-B3A7-46F8-9F44-F2290C56519B}"/>
  </bookViews>
  <sheets>
    <sheet name="VISÃO GERAL" sheetId="5" r:id="rId1"/>
    <sheet name="VENDAS" sheetId="9" r:id="rId2"/>
    <sheet name="COMPLEMENTOS" sheetId="10" r:id="rId3"/>
    <sheet name="METAS E OKRs" sheetId="11" r:id="rId4"/>
    <sheet name="BASES" sheetId="4" r:id="rId5"/>
    <sheet name="CÁLCULOS" sheetId="2" r:id="rId6"/>
  </sheets>
  <definedNames>
    <definedName name="SegmentaçãodeDados_Subscription_Type">#N/A</definedName>
  </definedNames>
  <calcPr calcId="191029"/>
  <pivotCaches>
    <pivotCache cacheId="16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45" i="2" l="1"/>
  <c r="N44" i="2"/>
  <c r="K39" i="2"/>
  <c r="K25" i="2"/>
  <c r="K24" i="2"/>
  <c r="K23" i="2"/>
  <c r="K32" i="2"/>
  <c r="K38" i="2"/>
  <c r="K37" i="2"/>
  <c r="K33" i="2"/>
  <c r="K10" i="2"/>
  <c r="K45" i="2" s="1"/>
  <c r="K11" i="2"/>
  <c r="K27" i="2"/>
  <c r="K26" i="2"/>
  <c r="K22" i="2"/>
  <c r="K21" i="2"/>
  <c r="K20" i="2"/>
  <c r="K13" i="2"/>
  <c r="K48" i="2" s="1"/>
  <c r="K12" i="2"/>
  <c r="K15" i="2"/>
  <c r="K14" i="2"/>
  <c r="K49" i="2" l="1"/>
  <c r="K51" i="2"/>
  <c r="K50" i="2"/>
  <c r="K46" i="2"/>
  <c r="K34" i="2"/>
  <c r="K36" i="2" l="1"/>
  <c r="K3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<sst xmlns="http://schemas.openxmlformats.org/spreadsheetml/2006/main" count="2114" uniqueCount="366">
  <si>
    <t>Subscription Type</t>
  </si>
  <si>
    <t>Annual</t>
  </si>
  <si>
    <t>Rótulos de Linha</t>
  </si>
  <si>
    <t>Soma de Total Value</t>
  </si>
  <si>
    <t>No</t>
  </si>
  <si>
    <t>Yes</t>
  </si>
  <si>
    <t>Total Geral</t>
  </si>
  <si>
    <t>Core</t>
  </si>
  <si>
    <t>Standard</t>
  </si>
  <si>
    <t>Ultimate</t>
  </si>
  <si>
    <t>Subscriber ID</t>
  </si>
  <si>
    <t>Name</t>
  </si>
  <si>
    <t>Plan</t>
  </si>
  <si>
    <t>Start Date</t>
  </si>
  <si>
    <t>Auto Renewal</t>
  </si>
  <si>
    <t>Subscription Price</t>
  </si>
  <si>
    <t>EA Play Season Pass</t>
  </si>
  <si>
    <t>EA Play Season Pass
Price</t>
  </si>
  <si>
    <t>Minecraft Season Pass</t>
  </si>
  <si>
    <t>Minecraft Season Pass Price</t>
  </si>
  <si>
    <t>Coupon Value</t>
  </si>
  <si>
    <t>Total Value</t>
  </si>
  <si>
    <t>João Silva</t>
  </si>
  <si>
    <t>Monthly</t>
  </si>
  <si>
    <t>Maria Oliveira</t>
  </si>
  <si>
    <t>-</t>
  </si>
  <si>
    <t>Lucas Fernandes</t>
  </si>
  <si>
    <t>Quarterly</t>
  </si>
  <si>
    <t>Ana Souza</t>
  </si>
  <si>
    <t>Pedro Gonçalves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</si>
  <si>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</si>
  <si>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</si>
  <si>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</si>
  <si>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</si>
  <si>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</si>
  <si>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</si>
  <si>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</si>
  <si>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</si>
  <si>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</si>
  <si>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</si>
  <si>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</si>
  <si>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</si>
  <si>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</si>
  <si>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</si>
  <si>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</si>
  <si>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</si>
  <si>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</si>
  <si>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</si>
  <si>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</si>
  <si>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</si>
  <si>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</si>
  <si>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</si>
  <si>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</si>
  <si>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</si>
  <si>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</si>
  <si>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</si>
  <si>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</si>
  <si>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</si>
  <si>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</si>
  <si>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</si>
  <si>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</si>
  <si>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</si>
  <si>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</si>
  <si>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</si>
  <si>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</si>
  <si>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</si>
  <si>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</si>
  <si>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</si>
  <si>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</si>
  <si>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</si>
  <si>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</si>
  <si>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</si>
  <si>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</si>
  <si>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</si>
  <si>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</si>
  <si>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</si>
  <si>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</si>
  <si>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</si>
  <si>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</si>
  <si>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</si>
  <si>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</si>
  <si>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</si>
  <si>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</si>
  <si>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</si>
  <si>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</si>
  <si>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</si>
  <si>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</si>
  <si>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</si>
  <si>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</si>
  <si>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</si>
  <si>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</si>
  <si>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</si>
  <si>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</si>
  <si>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</si>
  <si>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</si>
  <si>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</si>
  <si>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</si>
  <si>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</si>
  <si>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</si>
  <si>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</si>
  <si>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</si>
  <si>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</si>
  <si>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</si>
  <si>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</si>
  <si>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</si>
  <si>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</si>
  <si>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</si>
  <si>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</si>
  <si>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</si>
  <si>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</si>
  <si>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</si>
  <si>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</si>
  <si>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</si>
  <si>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</si>
  <si>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</si>
  <si>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</si>
  <si>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</si>
  <si>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</si>
  <si>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</si>
  <si>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</si>
  <si>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</si>
  <si>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</si>
  <si>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</si>
  <si>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</si>
  <si>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</si>
  <si>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</si>
  <si>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</si>
  <si>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</si>
  <si>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</si>
  <si>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</si>
  <si>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</si>
  <si>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</si>
  <si>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</si>
  <si>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</si>
  <si>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</si>
  <si>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</si>
  <si>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</si>
  <si>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</si>
  <si>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</si>
  <si>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</si>
  <si>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</si>
  <si>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</si>
  <si>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</si>
  <si>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</si>
  <si>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</si>
  <si>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</si>
  <si>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</si>
  <si>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</si>
  <si>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</si>
  <si>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</si>
  <si>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</si>
  <si>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</si>
  <si>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</si>
  <si>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</si>
  <si>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</si>
  <si>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</si>
  <si>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</si>
  <si>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</si>
  <si>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</si>
  <si>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</si>
  <si>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</si>
  <si>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</si>
  <si>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</si>
  <si>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</si>
  <si>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</si>
  <si>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</si>
  <si>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</si>
  <si>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</si>
  <si>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</si>
  <si>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</si>
  <si>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</si>
  <si>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</si>
  <si>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</si>
  <si>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</si>
  <si>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</si>
  <si>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</si>
  <si>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</si>
  <si>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</si>
  <si>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</si>
  <si>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</si>
  <si>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</si>
  <si>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</si>
  <si>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</si>
  <si>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</si>
  <si>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</si>
  <si>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</si>
  <si>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</si>
  <si>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</si>
  <si>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</si>
  <si>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</si>
  <si>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</si>
  <si>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</si>
  <si>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</si>
  <si>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</si>
  <si>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</si>
  <si>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</si>
  <si>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</si>
  <si>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</si>
  <si>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</si>
  <si>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</si>
  <si>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</si>
  <si>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</si>
  <si>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</si>
  <si>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</si>
  <si>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</si>
  <si>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</si>
  <si>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</si>
  <si>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</si>
  <si>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</si>
  <si>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</si>
  <si>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</si>
  <si>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</si>
  <si>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</si>
  <si>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</si>
  <si>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</si>
  <si>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</si>
  <si>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</si>
  <si>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</si>
  <si>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</si>
  <si>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</si>
  <si>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</si>
  <si>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</si>
  <si>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</si>
  <si>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</si>
  <si>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</si>
  <si>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</si>
  <si>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</si>
  <si>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</si>
  <si>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</si>
  <si>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</si>
  <si>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</si>
  <si>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</si>
  <si>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</si>
  <si>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</si>
  <si>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</si>
  <si>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</si>
  <si>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</si>
  <si>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</si>
  <si>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</si>
  <si>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</si>
  <si>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</si>
  <si>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</si>
  <si>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</si>
  <si>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</si>
  <si>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</si>
  <si>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</si>
  <si>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</si>
  <si>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</si>
  <si>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</si>
  <si>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</si>
  <si>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</si>
  <si>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</si>
  <si>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</si>
  <si>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</si>
  <si>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</si>
  <si>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</si>
  <si>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</si>
  <si>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</si>
  <si>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</si>
  <si>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</si>
  <si>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</si>
  <si>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</si>
  <si>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</si>
  <si>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</si>
  <si>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</si>
  <si>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</si>
  <si>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</si>
  <si>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</si>
  <si>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</si>
  <si>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</si>
  <si>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</si>
  <si>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</si>
  <si>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</si>
  <si>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</si>
  <si>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</si>
  <si>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</si>
  <si>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</si>
  <si>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</si>
  <si>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</si>
  <si>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</si>
  <si>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</si>
  <si>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</si>
  <si>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</si>
  <si>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</si>
  <si>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</si>
  <si>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</si>
  <si>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</si>
  <si>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</si>
  <si>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</si>
  <si>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</si>
  <si>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</si>
  <si>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</si>
  <si>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</si>
  <si>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</si>
  <si>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</si>
  <si>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</si>
  <si>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</si>
  <si>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</si>
  <si>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</si>
  <si>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</si>
  <si>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</si>
  <si>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</si>
  <si>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</si>
  <si>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</si>
  <si>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</si>
  <si>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PAINEL 01 — VISÃO GERAL</t>
  </si>
  <si>
    <t>Indicador</t>
  </si>
  <si>
    <t>Resultado</t>
  </si>
  <si>
    <t>Faturamento total</t>
  </si>
  <si>
    <t>Total de assinaturas</t>
  </si>
  <si>
    <t>Ticket médio</t>
  </si>
  <si>
    <t>Renovação automática (%)</t>
  </si>
  <si>
    <t>Assinaturas com renovação</t>
  </si>
  <si>
    <t>Assinaturas sem renovação</t>
  </si>
  <si>
    <t>(Tudo)</t>
  </si>
  <si>
    <t>P01 — Qual é o faturamento total das assinaturas Xbox?</t>
  </si>
  <si>
    <t>P02 — Qual é o faturamento por renovação automática?</t>
  </si>
  <si>
    <t>P03 — Qual é a receita do EA Play por plano?</t>
  </si>
  <si>
    <t>P04 — Qual é a receita do Minecraft por plano?</t>
  </si>
  <si>
    <t>XBOX SALES INTELLIGENCE | ANÁLISE DE DADOS E INDICADORES</t>
  </si>
  <si>
    <t>P05 — Quantas assinaturas Xbox foram vendidas?</t>
  </si>
  <si>
    <t>P06 — Qual é o ticket médio por assinatura?</t>
  </si>
  <si>
    <t>P07 — Qual é a taxa de renovação automática?</t>
  </si>
  <si>
    <t>Qtd. Assinaturas</t>
  </si>
  <si>
    <t>% Renovação</t>
  </si>
  <si>
    <t>P08 — Qual plano Xbox gera mais faturamento?</t>
  </si>
  <si>
    <t>P09 — Faturamento por modalidade de assinatura</t>
  </si>
  <si>
    <t>Receita EA Play</t>
  </si>
  <si>
    <t>Receita Minecraft</t>
  </si>
  <si>
    <t>Ticket Médio</t>
  </si>
  <si>
    <t>Receita por Plano</t>
  </si>
  <si>
    <t>Receita por Modalidade</t>
  </si>
  <si>
    <t>PAINEL 02 — VENDAS</t>
  </si>
  <si>
    <t>Receita Core</t>
  </si>
  <si>
    <t>Receita Standard</t>
  </si>
  <si>
    <t>Receita Ultimate</t>
  </si>
  <si>
    <t>Receita mensal</t>
  </si>
  <si>
    <t>Receita trimestral</t>
  </si>
  <si>
    <t>Receita anual</t>
  </si>
  <si>
    <t>Plano líder em receita</t>
  </si>
  <si>
    <t>Modalidade líder</t>
  </si>
  <si>
    <t>Painel 03 — Complementos</t>
  </si>
  <si>
    <t>Receita total complementos</t>
  </si>
  <si>
    <t>Participação EA Play (%)</t>
  </si>
  <si>
    <t>Participação Minecraft (%)</t>
  </si>
  <si>
    <t>Assinaturas com EA Play</t>
  </si>
  <si>
    <t>Assinaturas com Minecraft</t>
  </si>
  <si>
    <t>Painel 04 — Metas e OKRs</t>
  </si>
  <si>
    <t>Meta de faturamento</t>
  </si>
  <si>
    <t>Faturamento realizado</t>
  </si>
  <si>
    <t>Atingimento da receita</t>
  </si>
  <si>
    <t>Meta de renovação</t>
  </si>
  <si>
    <t>Renovação atual</t>
  </si>
  <si>
    <t>Atingimento da renovação</t>
  </si>
  <si>
    <t>Distância até a meta de receita</t>
  </si>
  <si>
    <t>Distância até a meta de renovação</t>
  </si>
  <si>
    <t>XBOX SALES INTELLIGENCE</t>
  </si>
  <si>
    <t>VISÃO GERAL | DESEMPENHO DE ASSINATURAS</t>
  </si>
  <si>
    <t xml:space="preserve">  MENU PRINCIPAL</t>
  </si>
  <si>
    <t>VENDAS | ANÁLISE DE RECEITAS E MODALIDADES</t>
  </si>
  <si>
    <t>COMPLEMENTOS | ANÁLISE DE EA PLAY E MINECRAFT</t>
  </si>
  <si>
    <t>Complemento Líder</t>
  </si>
  <si>
    <t>METAS E OKRs | ACOMPANHAMENTO DE RESULTADOS</t>
  </si>
  <si>
    <t>Atingimento</t>
  </si>
  <si>
    <t>Receita</t>
  </si>
  <si>
    <t>Renovação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</si>
</sst>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9" formatCode="&quot;R$&quot;\ #,##0.00"/>
    <numFmt numFmtId="172" formatCode="0.00&quot; p.p.&quot;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theme="3"/>
      <name val="Segoe UI"/>
      <family val="2"/>
    </font>
    <font>
      <sz val="11"/>
      <color rgb="FF17324D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8"/>
      <color rgb="FF22C55E"/>
      <name val="Aptos Display"/>
      <family val="2"/>
      <scheme val="major"/>
    </font>
    <font>
      <b/>
      <sz val="10"/>
      <color rgb="FF53665A"/>
      <name val="Aptos Display"/>
      <family val="2"/>
      <scheme val="major"/>
    </font>
    <font>
      <b/>
      <sz val="12"/>
      <color theme="0" tint="-4.9989318521683403E-2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2C55E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107C1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7F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DCE5E0"/>
      </left>
      <right style="thin">
        <color rgb="FFDCE5E0"/>
      </right>
      <top style="thin">
        <color rgb="FFDCE5E0"/>
      </top>
      <bottom/>
      <diagonal/>
    </border>
    <border>
      <left style="thin">
        <color rgb="FFDCE5E0"/>
      </left>
      <right style="thin">
        <color rgb="FFDCE5E0"/>
      </right>
      <top/>
      <bottom/>
      <diagonal/>
    </border>
    <border>
      <left style="thin">
        <color rgb="FFDCE5E0"/>
      </left>
      <right style="thin">
        <color rgb="FFDCE5E0"/>
      </right>
      <top/>
      <bottom style="thin">
        <color rgb="FFDCE5E0"/>
      </bottom>
      <diagonal/>
    </border>
    <border>
      <left/>
      <right/>
      <top/>
      <bottom style="thick">
        <color rgb="FF9BC848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41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pivotButton="1"/>
    <xf numFmtId="0" fontId="0" fillId="0" borderId="0" xfId="0" applyNumberFormat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3" fillId="4" borderId="0" xfId="0" applyFont="1" applyFill="1" applyAlignment="1">
      <alignment horizontal="center"/>
    </xf>
    <xf numFmtId="0" fontId="6" fillId="5" borderId="0" xfId="0" applyFont="1" applyFill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169" fontId="0" fillId="6" borderId="2" xfId="0" applyNumberFormat="1" applyFill="1" applyBorder="1"/>
    <xf numFmtId="169" fontId="0" fillId="0" borderId="0" xfId="0" applyNumberFormat="1"/>
    <xf numFmtId="0" fontId="3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169" fontId="0" fillId="6" borderId="3" xfId="1" applyNumberFormat="1" applyFont="1" applyFill="1" applyBorder="1"/>
    <xf numFmtId="10" fontId="0" fillId="0" borderId="0" xfId="0" applyNumberFormat="1"/>
    <xf numFmtId="10" fontId="0" fillId="6" borderId="3" xfId="2" applyNumberFormat="1" applyFont="1" applyFill="1" applyBorder="1"/>
    <xf numFmtId="0" fontId="3" fillId="4" borderId="0" xfId="0" applyFont="1" applyFill="1" applyAlignment="1"/>
    <xf numFmtId="169" fontId="0" fillId="6" borderId="3" xfId="0" applyNumberFormat="1" applyFill="1" applyBorder="1"/>
    <xf numFmtId="1" fontId="0" fillId="6" borderId="3" xfId="2" applyNumberFormat="1" applyFont="1" applyFill="1" applyBorder="1"/>
    <xf numFmtId="169" fontId="0" fillId="6" borderId="0" xfId="0" applyNumberFormat="1" applyFill="1"/>
    <xf numFmtId="10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vertical="center" wrapText="1"/>
    </xf>
    <xf numFmtId="172" fontId="0" fillId="6" borderId="0" xfId="0" applyNumberFormat="1" applyFill="1"/>
    <xf numFmtId="0" fontId="5" fillId="6" borderId="5" xfId="3" applyFont="1" applyFill="1" applyBorder="1"/>
    <xf numFmtId="0" fontId="0" fillId="6" borderId="5" xfId="0" applyFill="1" applyBorder="1"/>
    <xf numFmtId="0" fontId="0" fillId="6" borderId="0" xfId="0" applyFill="1" applyBorder="1" applyAlignment="1"/>
    <xf numFmtId="0" fontId="8" fillId="6" borderId="5" xfId="3" applyFon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2"/>
    </xf>
    <xf numFmtId="0" fontId="0" fillId="6" borderId="0" xfId="0" applyFill="1" applyBorder="1"/>
    <xf numFmtId="1" fontId="0" fillId="6" borderId="0" xfId="2" applyNumberFormat="1" applyFont="1" applyFill="1" applyBorder="1"/>
    <xf numFmtId="0" fontId="9" fillId="6" borderId="0" xfId="0" applyFont="1" applyFill="1" applyBorder="1" applyAlignment="1">
      <alignment horizontal="left" vertical="center" indent="10"/>
    </xf>
    <xf numFmtId="10" fontId="0" fillId="6" borderId="3" xfId="0" applyNumberFormat="1" applyFill="1" applyBorder="1"/>
    <xf numFmtId="0" fontId="11" fillId="3" borderId="0" xfId="0" applyFont="1" applyFill="1"/>
  </cellXfs>
  <cellStyles count="4">
    <cellStyle name="Moeda" xfId="1" builtinId="4"/>
    <cellStyle name="Normal" xfId="0" builtinId="0"/>
    <cellStyle name="Porcentagem" xfId="2" builtinId="5"/>
    <cellStyle name="Título 1" xfId="3" builtinId="16"/>
  </cellStyles>
  <dxfs count="24">
    <dxf>
      <numFmt numFmtId="169" formatCode="&quot;R$&quot;\ #,##0.00"/>
    </dxf>
    <dxf>
      <numFmt numFmtId="169" formatCode="&quot;R$&quot;\ #,##0.00"/>
    </dxf>
    <dxf>
      <font>
        <sz val="14"/>
        <color theme="0"/>
      </font>
      <fill>
        <patternFill>
          <bgColor rgb="FF22C55E"/>
        </patternFill>
      </fill>
    </dxf>
    <dxf>
      <font>
        <b/>
        <i val="0"/>
        <sz val="16"/>
        <color theme="0"/>
      </font>
      <fill>
        <patternFill>
          <bgColor rgb="FF22C55E"/>
        </patternFill>
      </fill>
    </dxf>
    <dxf>
      <font>
        <color rgb="FFFFFFFF"/>
      </font>
      <fill>
        <patternFill>
          <bgColor rgb="FF107C10"/>
        </patternFill>
      </fill>
    </dxf>
    <dxf>
      <font>
        <color rgb="FFFFFFFF"/>
      </font>
      <fill>
        <patternFill>
          <bgColor rgb="FF107C10"/>
        </patternFill>
      </fill>
    </dxf>
    <dxf>
      <numFmt numFmtId="169" formatCode="&quot;R$&quot;\ #,##0.00"/>
    </dxf>
    <dxf>
      <numFmt numFmtId="169" formatCode="&quot;R$&quot;\ #,##0.0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3" defaultTableStyle="TableStyleMedium2" defaultPivotStyle="PivotStyleLight16">
    <tableStyle name="Estilo de Segmentação de Dados 1" pivot="0" table="0" count="6" xr9:uid="{CC573498-E6F4-48D8-83DD-0C6C4126CACD}">
      <tableStyleElement type="wholeTable" dxfId="5"/>
      <tableStyleElement type="headerRow" dxfId="4"/>
    </tableStyle>
    <tableStyle name="Estilo de Segmentação de Dados 2" pivot="0" table="0" count="10" xr9:uid="{CAE69CAB-1FE4-495A-9B04-9A183FA74E3A}">
      <tableStyleElement type="wholeTable" dxfId="3"/>
      <tableStyleElement type="headerRow" dxfId="2"/>
    </tableStyle>
    <tableStyle name="SlicerStyleLight6 2" pivot="0" table="0" count="10" xr9:uid="{3DBB8C90-BE64-4934-B590-30D8D0AF0D23}">
      <tableStyleElement type="wholeTable" dxfId="23"/>
      <tableStyleElement type="headerRow" dxfId="22"/>
    </tableStyle>
  </tableStyles>
  <colors>
    <mruColors>
      <color rgb="FF22C55E"/>
      <color rgb="FF107C10"/>
      <color rgb="FFD9D9D9"/>
      <color rgb="FFE8E6E9"/>
      <color rgb="FF6B7280"/>
      <color rgb="FF173B24"/>
      <color rgb="FFD9EAD3"/>
      <color rgb="FF9BC848"/>
      <color rgb="FF53665A"/>
      <color rgb="FFE5E7EB"/>
    </mruColors>
  </colors>
  <extLst>
    <ext xmlns:x14="http://schemas.microsoft.com/office/spreadsheetml/2009/9/main" uri="{46F421CA-312F-682f-3DD2-61675219B42D}">
      <x14:dxfs count="20"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theme="0"/>
          </font>
          <fill>
            <patternFill>
              <bgColor rgb="FF107C10"/>
            </patternFill>
          </fill>
        </dxf>
        <dxf>
          <font>
            <color rgb="FF173B24"/>
          </font>
          <fill>
            <patternFill>
              <bgColor rgb="FFD9EAD3"/>
            </patternFill>
          </fill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theme="0"/>
          </font>
          <fill>
            <patternFill>
              <bgColor rgb="FF107C10"/>
            </patternFill>
          </fill>
        </dxf>
        <dxf>
          <font>
            <color rgb="FF6B7280"/>
          </font>
          <fill>
            <patternFill>
              <bgColor rgb="FFE8E6E9"/>
            </patternFill>
          </fill>
        </dxf>
        <dxf>
          <font>
            <color rgb="FF173B24"/>
          </font>
          <fill>
            <patternFill>
              <bgColor rgb="FFD9EAD3"/>
            </patternFill>
          </fill>
        </dxf>
        <dxf>
          <font>
            <color rgb="FF6B7280"/>
          </font>
          <fill>
            <patternFill>
              <bgColor rgb="FFE5E7EB"/>
            </patternFill>
          </fill>
        </dxf>
        <dxf>
          <font>
            <color rgb="FF17324D"/>
          </font>
          <fill>
            <patternFill>
              <bgColor rgb="FFBCE4F2"/>
            </patternFill>
          </fill>
        </dxf>
        <dxf>
          <font>
            <color rgb="FFFFFFFF"/>
          </font>
          <fill>
            <patternFill>
              <bgColor rgb="FF107C10"/>
            </patternFill>
          </fill>
        </dxf>
        <dxf>
          <font>
            <color rgb="FFFFFFFF"/>
          </font>
          <fill>
            <patternFill>
              <bgColor rgb="FF107C10"/>
            </patternFill>
          </fill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Estilo de Segmentação de Dados 2">
        <x14:slicerStyle name="Estilo de Segmentação de Dados 1">
          <x14:slicerStyleElements>
            <x14:slicerStyleElement type="unselectedItemWithData" dxfId="9"/>
            <x14:slicerStyleElement type="unselectedItemWithNoData" dxfId="8"/>
            <x14:slicerStyleElement type="selectedItemWithData" dxfId="11"/>
            <x14:slicerStyleElement type="selectedItemWithNoData" dxfId="10"/>
          </x14:slicerStyleElements>
        </x14:slicerStyle>
        <x14:slicerStyle name="Estilo de Segmentação de Dados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  <x14:slicerStyle name="SlicerStyleLight6 2">
          <x14:slicerStyleElements>
            <x14:slicerStyleElement type="unselectedItemWithData" dxfId="19"/>
            <x14:slicerStyleElement type="unselectedItemWithNoData" dxfId="18"/>
            <x14:slicerStyleElement type="selectedItemWithData" dxfId="17"/>
            <x14:slicerStyleElement type="selectedItemWithNoData" dxfId="16"/>
            <x14:slicerStyleElement type="hoveredUnselectedItemWithData" dxfId="15"/>
            <x14:slicerStyleElement type="hoveredSelectedItemWithData" dxfId="14"/>
            <x14:slicerStyleElement type="hoveredUnselectedItemWithNoData" dxfId="13"/>
            <x14:slicerStyleElement type="hoveredSelectedItemWithNoData" dxfId="12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Xbox.xlsx]CÁLCULOS!TD_Receita_Plano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800" b="1">
                <a:solidFill>
                  <a:srgbClr val="107C10"/>
                </a:solidFill>
                <a:latin typeface="+mj-lt"/>
              </a:rPr>
              <a:t>FATURAMENTO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CÁLCULOS!$G$33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CÁLCULOS!$F$34:$F$37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CÁLCULOS!$G$34:$G$37</c:f>
              <c:numCache>
                <c:formatCode>_("R$"* #,##0.00_);_("R$"* \(#,##0.00\);_("R$"* "-"??_);_(@_)</c:formatCode>
                <c:ptCount val="3"/>
                <c:pt idx="0">
                  <c:v>444</c:v>
                </c:pt>
                <c:pt idx="1">
                  <c:v>1801</c:v>
                </c:pt>
                <c:pt idx="2">
                  <c:v>5388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FD-4C7B-8477-CF7D7168FC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755894912"/>
        <c:axId val="1755893472"/>
      </c:barChart>
      <c:catAx>
        <c:axId val="175589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755893472"/>
        <c:crosses val="autoZero"/>
        <c:auto val="1"/>
        <c:lblAlgn val="ctr"/>
        <c:lblOffset val="100"/>
        <c:noMultiLvlLbl val="0"/>
      </c:catAx>
      <c:valAx>
        <c:axId val="1755893472"/>
        <c:scaling>
          <c:orientation val="minMax"/>
          <c:max val="6500"/>
        </c:scaling>
        <c:delete val="1"/>
        <c:axPos val="b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55894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Xbox.xlsx]CÁLCULOS!TD_Assinaturas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</a:rPr>
              <a:t>ASSINATURAS</a:t>
            </a:r>
            <a:endParaRPr lang="pt-BR" sz="1800" b="1">
              <a:solidFill>
                <a:srgbClr val="107C1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479260555359E-2"/>
          <c:y val="0.14896398865952429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CÁLCULOS!$C$43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CÁLCULOS!$B$44:$B$47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CÁLCULOS!$C$44:$C$47</c:f>
              <c:numCache>
                <c:formatCode>General</c:formatCode>
                <c:ptCount val="3"/>
                <c:pt idx="0">
                  <c:v>101</c:v>
                </c:pt>
                <c:pt idx="1">
                  <c:v>96</c:v>
                </c:pt>
                <c:pt idx="2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3C-4F23-88C9-C8BDE9779C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 Xbox.xlsx]CÁLCULOS!TD_Receita_Modalidade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  <a:latin typeface="+mj-lt"/>
              </a:rPr>
              <a:t>RECEITA POR MODALIDADE</a:t>
            </a:r>
            <a:endParaRPr lang="en-US" sz="18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0" baseline="0">
              <a:solidFill>
                <a:srgbClr val="107C10"/>
              </a:solidFill>
              <a:latin typeface="+mj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1947507466115323"/>
          <c:y val="0.17934899797057333"/>
          <c:w val="0.86350601118002912"/>
          <c:h val="0.796488140537798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CÁLCULOS!$G$43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0" tIns="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CÁLCULOS!$F$44:$F$47</c:f>
              <c:strCache>
                <c:ptCount val="3"/>
                <c:pt idx="0">
                  <c:v>Monthly</c:v>
                </c:pt>
                <c:pt idx="1">
                  <c:v>Quarterly</c:v>
                </c:pt>
                <c:pt idx="2">
                  <c:v>Annual</c:v>
                </c:pt>
              </c:strCache>
            </c:strRef>
          </c:cat>
          <c:val>
            <c:numRef>
              <c:f>CÁLCULOS!$G$44:$G$47</c:f>
              <c:numCache>
                <c:formatCode>_("R$"* #,##0.00_);_("R$"* \(#,##0.00\);_("R$"* "-"??_);_(@_)</c:formatCode>
                <c:ptCount val="3"/>
                <c:pt idx="0">
                  <c:v>3571</c:v>
                </c:pt>
                <c:pt idx="1">
                  <c:v>2308</c:v>
                </c:pt>
                <c:pt idx="2">
                  <c:v>1754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AF-4697-AE78-C9E0BA06B81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755894912"/>
        <c:axId val="1755893472"/>
      </c:barChart>
      <c:catAx>
        <c:axId val="175589491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755893472"/>
        <c:crosses val="autoZero"/>
        <c:auto val="1"/>
        <c:lblAlgn val="ctr"/>
        <c:lblOffset val="100"/>
        <c:noMultiLvlLbl val="0"/>
      </c:catAx>
      <c:valAx>
        <c:axId val="1755893472"/>
        <c:scaling>
          <c:orientation val="minMax"/>
          <c:max val="6500"/>
        </c:scaling>
        <c:delete val="1"/>
        <c:axPos val="t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55894912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 Xbox.xlsx]CÁLCULOS!TD_Receita_Renovacao_Nova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  <a:latin typeface="+mj-lt"/>
              </a:rPr>
              <a:t>RECEITA POR RENOVAÇÃO</a:t>
            </a:r>
            <a:endParaRPr lang="pt-BR" sz="18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391224442917E-2"/>
          <c:y val="0.18923547691527143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CÁLCULOS!$B$16:$B$18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CÁLCULOS!$C$16:$C$18</c:f>
              <c:numCache>
                <c:formatCode>_("R$"* #,##0.00_);_("R$"* \(#,##0.00\);_("R$"* "-"??_);_(@_)</c:formatCode>
                <c:ptCount val="2"/>
                <c:pt idx="0">
                  <c:v>3847</c:v>
                </c:pt>
                <c:pt idx="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63-40A2-86D9-08B0BDD3B8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5000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  <a:latin typeface="+mj-lt"/>
              </a:rPr>
              <a:t>RECEITA POR COMPLEMENTO</a:t>
            </a:r>
            <a:endParaRPr lang="en-US" sz="18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square" lIns="0" tIns="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0" tIns="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CÁLCULOS!$J$32:$J$33</c:f>
              <c:strCache>
                <c:ptCount val="2"/>
                <c:pt idx="0">
                  <c:v>Receita EA Play</c:v>
                </c:pt>
                <c:pt idx="1">
                  <c:v>Receita Minecraft</c:v>
                </c:pt>
              </c:strCache>
            </c:strRef>
          </c:cat>
          <c:val>
            <c:numRef>
              <c:f>(CÁLCULOS!$K$32,CÁLCULOS!$K$33)</c:f>
              <c:numCache>
                <c:formatCode>"R$"\ #,##0.00</c:formatCode>
                <c:ptCount val="2"/>
                <c:pt idx="0">
                  <c:v>2940</c:v>
                </c:pt>
                <c:pt idx="1">
                  <c:v>3880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81-4AFA-A11D-B9172C37BF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755894912"/>
        <c:axId val="1755893472"/>
      </c:barChart>
      <c:catAx>
        <c:axId val="175589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755893472"/>
        <c:crosses val="autoZero"/>
        <c:auto val="1"/>
        <c:lblAlgn val="ctr"/>
        <c:lblOffset val="100"/>
        <c:noMultiLvlLbl val="0"/>
      </c:catAx>
      <c:valAx>
        <c:axId val="1755893472"/>
        <c:scaling>
          <c:orientation val="minMax"/>
          <c:max val="6500"/>
        </c:scaling>
        <c:delete val="1"/>
        <c:axPos val="b"/>
        <c:numFmt formatCode="&quot;R$&quot;\ #,##0.00" sourceLinked="1"/>
        <c:majorTickMark val="out"/>
        <c:minorTickMark val="none"/>
        <c:tickLblPos val="nextTo"/>
        <c:crossAx val="1755894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baseline="0">
                <a:solidFill>
                  <a:srgbClr val="107C10"/>
                </a:solidFill>
                <a:latin typeface="+mj-lt"/>
              </a:rPr>
              <a:t>ASSINATURAS POR COMPLEMENTO</a:t>
            </a:r>
            <a:endParaRPr lang="pt-BR" sz="1600" b="1">
              <a:solidFill>
                <a:srgbClr val="107C10"/>
              </a:solidFill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7459406170262108E-2"/>
          <c:y val="0.14896404109589043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CÁLCULOS!$J$37:$K$38</c15:sqref>
                  </c15:fullRef>
                </c:ext>
              </c:extLst>
              <c:f>CÁLCULOS!$J$37:$K$38</c:f>
              <c:multiLvlStrCache>
                <c:ptCount val="2"/>
                <c:lvl>
                  <c:pt idx="0">
                    <c:v>98</c:v>
                  </c:pt>
                  <c:pt idx="1">
                    <c:v>194</c:v>
                  </c:pt>
                </c:lvl>
                <c:lvl>
                  <c:pt idx="0">
                    <c:v>Assinaturas com EA Play</c:v>
                  </c:pt>
                  <c:pt idx="1">
                    <c:v>Assinaturas com Minecraft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CÁLCULOS!$K$35:$K$38</c15:sqref>
                  </c15:fullRef>
                </c:ext>
              </c:extLst>
              <c:f>CÁLCULOS!$K$35:$K$36</c:f>
              <c:numCache>
                <c:formatCode>0.00%</c:formatCode>
                <c:ptCount val="2"/>
                <c:pt idx="0">
                  <c:v>0.4310850439882698</c:v>
                </c:pt>
                <c:pt idx="1">
                  <c:v>0.56891495601173026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6-4941-9D5D-B097AA99BE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0.70000000000000007"/>
        </c:scaling>
        <c:delete val="1"/>
        <c:axPos val="l"/>
        <c:numFmt formatCode="0.00%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</a:rPr>
              <a:t>FATURAMENTO × META</a:t>
            </a:r>
            <a:endParaRPr lang="pt-BR" sz="1800" b="1">
              <a:solidFill>
                <a:srgbClr val="107C1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479260555359E-2"/>
          <c:y val="0.14896398865952429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CÁLCULOS!$K$43</c:f>
              <c:strCache>
                <c:ptCount val="1"/>
                <c:pt idx="0">
                  <c:v>Resultado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CÁLCULOS!$J$44:$J$45</c:f>
              <c:strCache>
                <c:ptCount val="2"/>
                <c:pt idx="0">
                  <c:v>Meta de faturamento</c:v>
                </c:pt>
                <c:pt idx="1">
                  <c:v>Faturamento realizado</c:v>
                </c:pt>
              </c:strCache>
            </c:strRef>
          </c:cat>
          <c:val>
            <c:numRef>
              <c:f>CÁLCULOS!$K$44:$K$45</c:f>
              <c:numCache>
                <c:formatCode>"R$"\ #,##0.00</c:formatCode>
                <c:ptCount val="2"/>
                <c:pt idx="0">
                  <c:v>8500</c:v>
                </c:pt>
                <c:pt idx="1">
                  <c:v>7633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8F-4C82-86AD-A24120A2E6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10000"/>
          <c:min val="0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61920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baseline="0">
                <a:solidFill>
                  <a:srgbClr val="107C10"/>
                </a:solidFill>
              </a:rPr>
              <a:t>ATINGIMENTO DAS METAS</a:t>
            </a:r>
            <a:endParaRPr lang="pt-BR" sz="1800" b="1">
              <a:solidFill>
                <a:srgbClr val="107C1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300" b="1" i="0" u="none" strike="noStrike" kern="1200" baseline="0">
                  <a:solidFill>
                    <a:srgbClr val="107C1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2549479260555359E-2"/>
          <c:y val="0.14896398865952429"/>
          <c:w val="0.82464309192736884"/>
          <c:h val="0.707967839040374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CÁLCULOS!$N$43</c:f>
              <c:strCache>
                <c:ptCount val="1"/>
                <c:pt idx="0">
                  <c:v>Atingimento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1" i="0" u="none" strike="noStrike" kern="1200" baseline="0">
                    <a:solidFill>
                      <a:srgbClr val="107C1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CÁLCULOS!$M$44:$M$45</c:f>
              <c:strCache>
                <c:ptCount val="2"/>
                <c:pt idx="0">
                  <c:v>Receita</c:v>
                </c:pt>
                <c:pt idx="1">
                  <c:v>Renovação</c:v>
                </c:pt>
              </c:strCache>
            </c:strRef>
          </c:cat>
          <c:val>
            <c:numRef>
              <c:f>CÁLCULOS!$N$44:$N$45</c:f>
              <c:numCache>
                <c:formatCode>0.00%</c:formatCode>
                <c:ptCount val="2"/>
                <c:pt idx="0">
                  <c:v>0.89800000000000002</c:v>
                </c:pt>
                <c:pt idx="1">
                  <c:v>0.83615819209039544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D-458C-AEAE-191130BA0E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0"/>
        <c:axId val="1619201760"/>
        <c:axId val="1619199360"/>
      </c:barChart>
      <c:catAx>
        <c:axId val="161920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07C10"/>
                </a:solidFill>
                <a:latin typeface="+mj-lt"/>
                <a:ea typeface="+mn-ea"/>
                <a:cs typeface="+mn-cs"/>
              </a:defRPr>
            </a:pPr>
            <a:endParaRPr lang="pt-BR"/>
          </a:p>
        </c:txPr>
        <c:crossAx val="1619199360"/>
        <c:crosses val="autoZero"/>
        <c:auto val="1"/>
        <c:lblAlgn val="ctr"/>
        <c:lblOffset val="100"/>
        <c:noMultiLvlLbl val="0"/>
      </c:catAx>
      <c:valAx>
        <c:axId val="1619199360"/>
        <c:scaling>
          <c:orientation val="minMax"/>
          <c:max val="1"/>
          <c:min val="0"/>
        </c:scaling>
        <c:delete val="1"/>
        <c:axPos val="l"/>
        <c:numFmt formatCode="0.00%" sourceLinked="1"/>
        <c:majorTickMark val="out"/>
        <c:minorTickMark val="none"/>
        <c:tickLblPos val="nextTo"/>
        <c:crossAx val="1619201760"/>
        <c:crosses val="autoZero"/>
        <c:crossBetween val="between"/>
        <c:minorUnit val="2.0000000000000004E-2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10.svg"/><Relationship Id="rId18" Type="http://schemas.openxmlformats.org/officeDocument/2006/relationships/chart" Target="../charts/chart1.xml"/><Relationship Id="rId3" Type="http://schemas.openxmlformats.org/officeDocument/2006/relationships/hyperlink" Target="#VENDAS!A1"/><Relationship Id="rId21" Type="http://schemas.openxmlformats.org/officeDocument/2006/relationships/image" Target="../media/image16.svg"/><Relationship Id="rId7" Type="http://schemas.openxmlformats.org/officeDocument/2006/relationships/image" Target="../media/image4.svg"/><Relationship Id="rId12" Type="http://schemas.openxmlformats.org/officeDocument/2006/relationships/image" Target="../media/image9.png"/><Relationship Id="rId17" Type="http://schemas.openxmlformats.org/officeDocument/2006/relationships/image" Target="../media/image14.svg"/><Relationship Id="rId2" Type="http://schemas.openxmlformats.org/officeDocument/2006/relationships/hyperlink" Target="#'VIS&#195;O GERAL'!A1"/><Relationship Id="rId16" Type="http://schemas.openxmlformats.org/officeDocument/2006/relationships/image" Target="../media/image13.png"/><Relationship Id="rId20" Type="http://schemas.openxmlformats.org/officeDocument/2006/relationships/image" Target="../media/image15.png"/><Relationship Id="rId1" Type="http://schemas.openxmlformats.org/officeDocument/2006/relationships/image" Target="../media/image2.png"/><Relationship Id="rId6" Type="http://schemas.openxmlformats.org/officeDocument/2006/relationships/image" Target="../media/image3.png"/><Relationship Id="rId11" Type="http://schemas.openxmlformats.org/officeDocument/2006/relationships/image" Target="../media/image8.svg"/><Relationship Id="rId5" Type="http://schemas.openxmlformats.org/officeDocument/2006/relationships/hyperlink" Target="#'METAS E OKRs'!A1"/><Relationship Id="rId15" Type="http://schemas.openxmlformats.org/officeDocument/2006/relationships/image" Target="../media/image12.svg"/><Relationship Id="rId10" Type="http://schemas.openxmlformats.org/officeDocument/2006/relationships/image" Target="../media/image7.png"/><Relationship Id="rId19" Type="http://schemas.openxmlformats.org/officeDocument/2006/relationships/chart" Target="../charts/chart2.xml"/><Relationship Id="rId4" Type="http://schemas.openxmlformats.org/officeDocument/2006/relationships/hyperlink" Target="#COMPLEMENTOS!A1"/><Relationship Id="rId9" Type="http://schemas.openxmlformats.org/officeDocument/2006/relationships/image" Target="../media/image6.svg"/><Relationship Id="rId14" Type="http://schemas.openxmlformats.org/officeDocument/2006/relationships/image" Target="../media/image11.png"/><Relationship Id="rId22" Type="http://schemas.openxmlformats.org/officeDocument/2006/relationships/image" Target="../media/image17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13" Type="http://schemas.openxmlformats.org/officeDocument/2006/relationships/image" Target="../media/image23.png"/><Relationship Id="rId18" Type="http://schemas.openxmlformats.org/officeDocument/2006/relationships/image" Target="../media/image28.svg"/><Relationship Id="rId26" Type="http://schemas.openxmlformats.org/officeDocument/2006/relationships/image" Target="../media/image34.svg"/><Relationship Id="rId3" Type="http://schemas.openxmlformats.org/officeDocument/2006/relationships/hyperlink" Target="#VENDAS!A1"/><Relationship Id="rId21" Type="http://schemas.openxmlformats.org/officeDocument/2006/relationships/chart" Target="../charts/chart3.xml"/><Relationship Id="rId7" Type="http://schemas.openxmlformats.org/officeDocument/2006/relationships/image" Target="../media/image16.svg"/><Relationship Id="rId12" Type="http://schemas.openxmlformats.org/officeDocument/2006/relationships/image" Target="../media/image22.svg"/><Relationship Id="rId17" Type="http://schemas.openxmlformats.org/officeDocument/2006/relationships/image" Target="../media/image27.png"/><Relationship Id="rId25" Type="http://schemas.openxmlformats.org/officeDocument/2006/relationships/image" Target="../media/image33.png"/><Relationship Id="rId2" Type="http://schemas.openxmlformats.org/officeDocument/2006/relationships/hyperlink" Target="#'VIS&#195;O GERAL'!A1"/><Relationship Id="rId16" Type="http://schemas.openxmlformats.org/officeDocument/2006/relationships/image" Target="../media/image26.svg"/><Relationship Id="rId20" Type="http://schemas.openxmlformats.org/officeDocument/2006/relationships/image" Target="../media/image30.svg"/><Relationship Id="rId1" Type="http://schemas.openxmlformats.org/officeDocument/2006/relationships/image" Target="../media/image2.png"/><Relationship Id="rId6" Type="http://schemas.openxmlformats.org/officeDocument/2006/relationships/image" Target="../media/image15.png"/><Relationship Id="rId11" Type="http://schemas.openxmlformats.org/officeDocument/2006/relationships/image" Target="../media/image21.png"/><Relationship Id="rId24" Type="http://schemas.openxmlformats.org/officeDocument/2006/relationships/image" Target="../media/image32.svg"/><Relationship Id="rId5" Type="http://schemas.openxmlformats.org/officeDocument/2006/relationships/hyperlink" Target="#'METAS E OKRs'!A1"/><Relationship Id="rId15" Type="http://schemas.openxmlformats.org/officeDocument/2006/relationships/image" Target="../media/image25.png"/><Relationship Id="rId23" Type="http://schemas.openxmlformats.org/officeDocument/2006/relationships/image" Target="../media/image31.png"/><Relationship Id="rId10" Type="http://schemas.openxmlformats.org/officeDocument/2006/relationships/image" Target="../media/image20.svg"/><Relationship Id="rId19" Type="http://schemas.openxmlformats.org/officeDocument/2006/relationships/image" Target="../media/image29.png"/><Relationship Id="rId4" Type="http://schemas.openxmlformats.org/officeDocument/2006/relationships/hyperlink" Target="#COMPLEMENTOS!A1"/><Relationship Id="rId9" Type="http://schemas.openxmlformats.org/officeDocument/2006/relationships/image" Target="../media/image19.png"/><Relationship Id="rId14" Type="http://schemas.openxmlformats.org/officeDocument/2006/relationships/image" Target="../media/image24.svg"/><Relationship Id="rId22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37.png"/><Relationship Id="rId18" Type="http://schemas.openxmlformats.org/officeDocument/2006/relationships/image" Target="../media/image42.svg"/><Relationship Id="rId26" Type="http://schemas.openxmlformats.org/officeDocument/2006/relationships/chart" Target="../charts/chart6.xml"/><Relationship Id="rId3" Type="http://schemas.openxmlformats.org/officeDocument/2006/relationships/hyperlink" Target="#VENDAS!A1"/><Relationship Id="rId21" Type="http://schemas.openxmlformats.org/officeDocument/2006/relationships/image" Target="../media/image45.png"/><Relationship Id="rId7" Type="http://schemas.openxmlformats.org/officeDocument/2006/relationships/image" Target="../media/image16.svg"/><Relationship Id="rId12" Type="http://schemas.openxmlformats.org/officeDocument/2006/relationships/image" Target="../media/image36.svg"/><Relationship Id="rId17" Type="http://schemas.openxmlformats.org/officeDocument/2006/relationships/image" Target="../media/image41.png"/><Relationship Id="rId25" Type="http://schemas.openxmlformats.org/officeDocument/2006/relationships/chart" Target="../charts/chart5.xml"/><Relationship Id="rId2" Type="http://schemas.openxmlformats.org/officeDocument/2006/relationships/hyperlink" Target="#'VIS&#195;O GERAL'!A1"/><Relationship Id="rId16" Type="http://schemas.openxmlformats.org/officeDocument/2006/relationships/image" Target="../media/image40.svg"/><Relationship Id="rId20" Type="http://schemas.openxmlformats.org/officeDocument/2006/relationships/image" Target="../media/image44.svg"/><Relationship Id="rId1" Type="http://schemas.openxmlformats.org/officeDocument/2006/relationships/image" Target="../media/image2.png"/><Relationship Id="rId6" Type="http://schemas.openxmlformats.org/officeDocument/2006/relationships/image" Target="../media/image15.png"/><Relationship Id="rId11" Type="http://schemas.openxmlformats.org/officeDocument/2006/relationships/image" Target="../media/image35.png"/><Relationship Id="rId24" Type="http://schemas.openxmlformats.org/officeDocument/2006/relationships/image" Target="../media/image48.svg"/><Relationship Id="rId5" Type="http://schemas.openxmlformats.org/officeDocument/2006/relationships/hyperlink" Target="#'METAS E OKRs'!A1"/><Relationship Id="rId15" Type="http://schemas.openxmlformats.org/officeDocument/2006/relationships/image" Target="../media/image39.png"/><Relationship Id="rId23" Type="http://schemas.openxmlformats.org/officeDocument/2006/relationships/image" Target="../media/image47.png"/><Relationship Id="rId10" Type="http://schemas.openxmlformats.org/officeDocument/2006/relationships/image" Target="../media/image20.svg"/><Relationship Id="rId19" Type="http://schemas.openxmlformats.org/officeDocument/2006/relationships/image" Target="../media/image43.png"/><Relationship Id="rId4" Type="http://schemas.openxmlformats.org/officeDocument/2006/relationships/hyperlink" Target="#COMPLEMENTOS!A1"/><Relationship Id="rId9" Type="http://schemas.openxmlformats.org/officeDocument/2006/relationships/image" Target="../media/image19.png"/><Relationship Id="rId14" Type="http://schemas.openxmlformats.org/officeDocument/2006/relationships/image" Target="../media/image38.svg"/><Relationship Id="rId22" Type="http://schemas.openxmlformats.org/officeDocument/2006/relationships/image" Target="../media/image46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0.svg"/><Relationship Id="rId13" Type="http://schemas.openxmlformats.org/officeDocument/2006/relationships/image" Target="../media/image55.png"/><Relationship Id="rId18" Type="http://schemas.openxmlformats.org/officeDocument/2006/relationships/image" Target="../media/image60.svg"/><Relationship Id="rId3" Type="http://schemas.openxmlformats.org/officeDocument/2006/relationships/hyperlink" Target="#VENDAS!A1"/><Relationship Id="rId21" Type="http://schemas.openxmlformats.org/officeDocument/2006/relationships/image" Target="../media/image63.png"/><Relationship Id="rId7" Type="http://schemas.openxmlformats.org/officeDocument/2006/relationships/image" Target="../media/image49.png"/><Relationship Id="rId12" Type="http://schemas.openxmlformats.org/officeDocument/2006/relationships/image" Target="../media/image54.svg"/><Relationship Id="rId17" Type="http://schemas.openxmlformats.org/officeDocument/2006/relationships/image" Target="../media/image59.png"/><Relationship Id="rId2" Type="http://schemas.openxmlformats.org/officeDocument/2006/relationships/hyperlink" Target="#'VIS&#195;O GERAL'!A1"/><Relationship Id="rId16" Type="http://schemas.openxmlformats.org/officeDocument/2006/relationships/image" Target="../media/image58.svg"/><Relationship Id="rId20" Type="http://schemas.openxmlformats.org/officeDocument/2006/relationships/image" Target="../media/image62.svg"/><Relationship Id="rId1" Type="http://schemas.openxmlformats.org/officeDocument/2006/relationships/image" Target="../media/image2.png"/><Relationship Id="rId6" Type="http://schemas.openxmlformats.org/officeDocument/2006/relationships/image" Target="../media/image17.png"/><Relationship Id="rId11" Type="http://schemas.openxmlformats.org/officeDocument/2006/relationships/image" Target="../media/image53.png"/><Relationship Id="rId24" Type="http://schemas.openxmlformats.org/officeDocument/2006/relationships/chart" Target="../charts/chart8.xml"/><Relationship Id="rId5" Type="http://schemas.openxmlformats.org/officeDocument/2006/relationships/hyperlink" Target="#'METAS E OKRs'!A1"/><Relationship Id="rId15" Type="http://schemas.openxmlformats.org/officeDocument/2006/relationships/image" Target="../media/image57.png"/><Relationship Id="rId23" Type="http://schemas.openxmlformats.org/officeDocument/2006/relationships/chart" Target="../charts/chart7.xml"/><Relationship Id="rId10" Type="http://schemas.openxmlformats.org/officeDocument/2006/relationships/image" Target="../media/image52.svg"/><Relationship Id="rId19" Type="http://schemas.openxmlformats.org/officeDocument/2006/relationships/image" Target="../media/image61.png"/><Relationship Id="rId4" Type="http://schemas.openxmlformats.org/officeDocument/2006/relationships/hyperlink" Target="#COMPLEMENTOS!A1"/><Relationship Id="rId9" Type="http://schemas.openxmlformats.org/officeDocument/2006/relationships/image" Target="../media/image51.png"/><Relationship Id="rId14" Type="http://schemas.openxmlformats.org/officeDocument/2006/relationships/image" Target="../media/image56.svg"/><Relationship Id="rId22" Type="http://schemas.openxmlformats.org/officeDocument/2006/relationships/image" Target="../media/image6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1895212</xdr:colOff>
      <xdr:row>0</xdr:row>
      <xdr:rowOff>111126</xdr:rowOff>
    </xdr:from>
    <xdr:to>
      <xdr:col>2</xdr:col>
      <xdr:colOff>411367</xdr:colOff>
      <xdr:row>3</xdr:row>
      <xdr:rowOff>47783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8D2D39C-C411-4B73-B2B9-BE3CE2C3FA7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3093" cy="781207"/>
        </a:xfrm>
        <a:prstGeom prst="rect">
          <a:avLst/>
        </a:prstGeom>
      </xdr:spPr>
    </xdr:pic>
    <xdr:clientData/>
  </xdr:twoCellAnchor>
  <xdr:twoCellAnchor editAs="absolute">
    <xdr:from>
      <xdr:col>0</xdr:col>
      <xdr:colOff>180453</xdr:colOff>
      <xdr:row>5</xdr:row>
      <xdr:rowOff>116548</xdr:rowOff>
    </xdr:from>
    <xdr:to>
      <xdr:col>0</xdr:col>
      <xdr:colOff>1755707</xdr:colOff>
      <xdr:row>7</xdr:row>
      <xdr:rowOff>107294</xdr:rowOff>
    </xdr:to>
    <xdr:sp macro="" textlink="">
      <xdr:nvSpPr>
        <xdr:cNvPr id="17" name="Retângulo 16">
          <a:extLst>
            <a:ext uri="{FF2B5EF4-FFF2-40B4-BE49-F238E27FC236}">
              <a16:creationId xmlns:a16="http://schemas.microsoft.com/office/drawing/2014/main" id="{E8190239-A911-41FA-BFAF-BFDFF229765A}"/>
            </a:ext>
          </a:extLst>
        </xdr:cNvPr>
        <xdr:cNvSpPr/>
      </xdr:nvSpPr>
      <xdr:spPr>
        <a:xfrm>
          <a:off x="177278" y="1156361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18" name="Retângulo: Cantos Arredondados 17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0A9CA80-FF7C-27AA-AEEE-3A1BCC66E12B}"/>
            </a:ext>
          </a:extLst>
        </xdr:cNvPr>
        <xdr:cNvSpPr/>
      </xdr:nvSpPr>
      <xdr:spPr>
        <a:xfrm>
          <a:off x="156492" y="2039938"/>
          <a:ext cx="1620000" cy="432000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>
              <a:latin typeface="+mj-lt"/>
            </a:rPr>
            <a:t>VISÃO GERAL</a:t>
          </a:r>
          <a:endParaRPr lang="pt-BR" sz="1000" b="1">
            <a:solidFill>
              <a:schemeClr val="bg1"/>
            </a:solidFill>
            <a:latin typeface="+mj-lt"/>
          </a:endParaRP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19" name="Retângulo: Cantos Arredondados 1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C4692D8-DB0F-0163-B027-ED2D0D136CED}"/>
            </a:ext>
          </a:extLst>
        </xdr:cNvPr>
        <xdr:cNvSpPr/>
      </xdr:nvSpPr>
      <xdr:spPr>
        <a:xfrm>
          <a:off x="156492" y="2583036"/>
          <a:ext cx="1620000" cy="432000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1">
              <a:solidFill>
                <a:srgbClr val="173B24"/>
              </a:solidFill>
              <a:latin typeface="+mj-lt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20" name="Retângulo: Cantos Arredondados 1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BE3A317-5019-1675-1AB8-56CDFACAD3F6}"/>
            </a:ext>
          </a:extLst>
        </xdr:cNvPr>
        <xdr:cNvSpPr/>
      </xdr:nvSpPr>
      <xdr:spPr>
        <a:xfrm>
          <a:off x="156492" y="3126136"/>
          <a:ext cx="1620000" cy="432000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21" name="Retângulo: Cantos Arredondados 2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A8DCCF9-5888-C359-66E7-5339BF9E3C9F}"/>
            </a:ext>
          </a:extLst>
        </xdr:cNvPr>
        <xdr:cNvSpPr/>
      </xdr:nvSpPr>
      <xdr:spPr>
        <a:xfrm>
          <a:off x="156492" y="3669234"/>
          <a:ext cx="1620000" cy="432000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5156" name="Agrupar 5155">
          <a:extLst>
            <a:ext uri="{FF2B5EF4-FFF2-40B4-BE49-F238E27FC236}">
              <a16:creationId xmlns:a16="http://schemas.microsoft.com/office/drawing/2014/main" id="{7A58B7F7-D377-993E-7AB6-267E07A97003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42" name="Retângulo: Cantos Arredondados 41">
            <a:extLst>
              <a:ext uri="{FF2B5EF4-FFF2-40B4-BE49-F238E27FC236}">
                <a16:creationId xmlns:a16="http://schemas.microsoft.com/office/drawing/2014/main" id="{55AAB3AE-6946-4850-C529-3CE06C0730F5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3">
        <xdr:nvSpPr>
          <xdr:cNvPr id="43" name="Retângulo: Cantos Arredondados 42">
            <a:extLst>
              <a:ext uri="{FF2B5EF4-FFF2-40B4-BE49-F238E27FC236}">
                <a16:creationId xmlns:a16="http://schemas.microsoft.com/office/drawing/2014/main" id="{C542BE8A-DA4F-423C-8236-EEC4FD42F37F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911F872-2449-4D9E-B92B-B1B52B855C7C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t>50,17%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5" name="Retângulo: Cantos Superiores Arredondados 44">
            <a:extLst>
              <a:ext uri="{FF2B5EF4-FFF2-40B4-BE49-F238E27FC236}">
                <a16:creationId xmlns:a16="http://schemas.microsoft.com/office/drawing/2014/main" id="{AF62375F-999C-A28F-E61C-C0119A3237F2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RENOVAÇÃO AUTOMÁTICA</a:t>
            </a:r>
          </a:p>
        </xdr:txBody>
      </xdr:sp>
      <xdr:pic>
        <xdr:nvPicPr>
          <xdr:cNvPr id="5136" name="Gráfico 5135">
            <a:extLst>
              <a:ext uri="{FF2B5EF4-FFF2-40B4-BE49-F238E27FC236}">
                <a16:creationId xmlns:a16="http://schemas.microsoft.com/office/drawing/2014/main" id="{81261D9E-FC41-A794-228B-1BDD3E246F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5449883" y="2596436"/>
            <a:ext cx="230188" cy="230188"/>
          </a:xfrm>
          <a:prstGeom prst="rect">
            <a:avLst/>
          </a:prstGeom>
        </xdr:spPr>
      </xdr:pic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5153" name="Agrupar 5152">
          <a:extLst>
            <a:ext uri="{FF2B5EF4-FFF2-40B4-BE49-F238E27FC236}">
              <a16:creationId xmlns:a16="http://schemas.microsoft.com/office/drawing/2014/main" id="{F79F9121-2002-17FD-D686-E20AB921F6C5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37" name="Retângulo: Cantos Arredondados 36">
            <a:extLst>
              <a:ext uri="{FF2B5EF4-FFF2-40B4-BE49-F238E27FC236}">
                <a16:creationId xmlns:a16="http://schemas.microsoft.com/office/drawing/2014/main" id="{02B7308C-6E30-5087-40CA-4E969B400DEF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2">
        <xdr:nvSpPr>
          <xdr:cNvPr id="38" name="Retângulo: Cantos Arredondados 37">
            <a:extLst>
              <a:ext uri="{FF2B5EF4-FFF2-40B4-BE49-F238E27FC236}">
                <a16:creationId xmlns:a16="http://schemas.microsoft.com/office/drawing/2014/main" id="{91A9C086-01D1-8BC7-3E6C-8D5085975FFC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9600EADC-4FDD-4E8C-9BF6-32E06C1F4F38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t>R$ 25,87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0" name="Retângulo: Cantos Superiores Arredondados 39">
            <a:extLst>
              <a:ext uri="{FF2B5EF4-FFF2-40B4-BE49-F238E27FC236}">
                <a16:creationId xmlns:a16="http://schemas.microsoft.com/office/drawing/2014/main" id="{62531585-DF67-4F99-BE35-F791095B2C3C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TICKET MÉDIO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39" name="Gráfico 5138">
            <a:extLst>
              <a:ext uri="{FF2B5EF4-FFF2-40B4-BE49-F238E27FC236}">
                <a16:creationId xmlns:a16="http://schemas.microsoft.com/office/drawing/2014/main" id="{D9BC3847-2FF9-B427-0932-4F41CD02FF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2733333" y="1176053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5151" name="Agrupar 5150">
          <a:extLst>
            <a:ext uri="{FF2B5EF4-FFF2-40B4-BE49-F238E27FC236}">
              <a16:creationId xmlns:a16="http://schemas.microsoft.com/office/drawing/2014/main" id="{F0C6C294-6C52-696C-1E0C-DA3F1B160AD1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32" name="Retângulo: Cantos Arredondados 31">
            <a:extLst>
              <a:ext uri="{FF2B5EF4-FFF2-40B4-BE49-F238E27FC236}">
                <a16:creationId xmlns:a16="http://schemas.microsoft.com/office/drawing/2014/main" id="{B4A48D39-4824-E39E-91B2-897FC8D82A41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1">
        <xdr:nvSpPr>
          <xdr:cNvPr id="33" name="Retângulo: Cantos Arredondados 32">
            <a:extLst>
              <a:ext uri="{FF2B5EF4-FFF2-40B4-BE49-F238E27FC236}">
                <a16:creationId xmlns:a16="http://schemas.microsoft.com/office/drawing/2014/main" id="{3FB7E887-0ED0-80FE-2991-2869DD21F917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387E2DC-2125-4EEA-A671-6840F83BB46D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t>295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5" name="Retângulo: Cantos Superiores Arredondados 34">
            <a:extLst>
              <a:ext uri="{FF2B5EF4-FFF2-40B4-BE49-F238E27FC236}">
                <a16:creationId xmlns:a16="http://schemas.microsoft.com/office/drawing/2014/main" id="{0B8A5AB6-BF18-CBAB-31AC-411C9C2871F3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ASSINATURAS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1" name="Gráfico 5140">
            <a:extLst>
              <a:ext uri="{FF2B5EF4-FFF2-40B4-BE49-F238E27FC236}">
                <a16:creationId xmlns:a16="http://schemas.microsoft.com/office/drawing/2014/main" id="{2DD884EB-8A9F-2881-1E6E-3990127DFC4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9092402" y="1176053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5149" name="Agrupar 5148">
          <a:extLst>
            <a:ext uri="{FF2B5EF4-FFF2-40B4-BE49-F238E27FC236}">
              <a16:creationId xmlns:a16="http://schemas.microsoft.com/office/drawing/2014/main" id="{3D8E317E-F8AB-CE7E-6D31-4F8774ED4FF7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7D0FBC2F-FACB-D342-B06C-75748C22A4C4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0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38146268-9033-858F-A1BC-5182D824D1CA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63883841-29F7-4287-A139-7991BDD23A67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t>R$ 7.633,00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837CC886-0AE0-6ADA-D7FB-BC7B0BD10638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FATURAMENTO TOTAL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3" name="Gráfico 5142">
            <a:extLst>
              <a:ext uri="{FF2B5EF4-FFF2-40B4-BE49-F238E27FC236}">
                <a16:creationId xmlns:a16="http://schemas.microsoft.com/office/drawing/2014/main" id="{8E97FA3D-6E21-2C31-357B-746EBEF883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96DAC541-7B7A-43D3-8B79-37D633B846F1}">
                <asvg:svgBlip xmlns:asvg="http://schemas.microsoft.com/office/drawing/2016/SVG/main" r:embed="rId13"/>
              </a:ext>
            </a:extLst>
          </a:blip>
          <a:stretch>
            <a:fillRect/>
          </a:stretch>
        </xdr:blipFill>
        <xdr:spPr>
          <a:xfrm>
            <a:off x="5451471" y="1172613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5154" name="Agrupar 5153">
          <a:extLst>
            <a:ext uri="{FF2B5EF4-FFF2-40B4-BE49-F238E27FC236}">
              <a16:creationId xmlns:a16="http://schemas.microsoft.com/office/drawing/2014/main" id="{1C5B0F6F-0683-498D-CFCB-6F9053EC44E5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57" name="Retângulo: Cantos Arredondados 56">
            <a:extLst>
              <a:ext uri="{FF2B5EF4-FFF2-40B4-BE49-F238E27FC236}">
                <a16:creationId xmlns:a16="http://schemas.microsoft.com/office/drawing/2014/main" id="{8A71CF3C-D429-BE60-9CF1-0B9BD932AE40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5">
        <xdr:nvSpPr>
          <xdr:cNvPr id="58" name="Retângulo: Cantos Arredondados 57">
            <a:extLst>
              <a:ext uri="{FF2B5EF4-FFF2-40B4-BE49-F238E27FC236}">
                <a16:creationId xmlns:a16="http://schemas.microsoft.com/office/drawing/2014/main" id="{B4AD26BE-DBFC-82BE-28AE-FF2CC46EE274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3EFE8F3-FF8A-4508-B838-B3E5B577CF90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t>147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60" name="Retângulo: Cantos Superiores Arredondados 59">
            <a:extLst>
              <a:ext uri="{FF2B5EF4-FFF2-40B4-BE49-F238E27FC236}">
                <a16:creationId xmlns:a16="http://schemas.microsoft.com/office/drawing/2014/main" id="{F56EB0D7-C71D-A4EC-FE4B-14D2FE4F92F3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SEM RENOVAÇÃO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5" name="Gráfico 5144">
            <a:extLst>
              <a:ext uri="{FF2B5EF4-FFF2-40B4-BE49-F238E27FC236}">
                <a16:creationId xmlns:a16="http://schemas.microsoft.com/office/drawing/2014/main" id="{A9A97AD7-FD01-6D02-05AA-49BF3F3F8E7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extLst>
              <a:ext uri="{96DAC541-7B7A-43D3-8B79-37D633B846F1}">
                <asvg:svgBlip xmlns:asvg="http://schemas.microsoft.com/office/drawing/2016/SVG/main" r:embed="rId15"/>
              </a:ext>
            </a:extLst>
          </a:blip>
          <a:stretch>
            <a:fillRect/>
          </a:stretch>
        </xdr:blipFill>
        <xdr:spPr>
          <a:xfrm>
            <a:off x="12733333" y="2596866"/>
            <a:ext cx="228600" cy="2286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5155" name="Agrupar 5154">
          <a:extLst>
            <a:ext uri="{FF2B5EF4-FFF2-40B4-BE49-F238E27FC236}">
              <a16:creationId xmlns:a16="http://schemas.microsoft.com/office/drawing/2014/main" id="{390EAB5B-6A83-62EA-A560-77B092ED751A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52" name="Retângulo: Cantos Arredondados 51">
            <a:extLst>
              <a:ext uri="{FF2B5EF4-FFF2-40B4-BE49-F238E27FC236}">
                <a16:creationId xmlns:a16="http://schemas.microsoft.com/office/drawing/2014/main" id="{724464F7-53CF-9236-7ACB-5DA9442EF3ED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14">
        <xdr:nvSpPr>
          <xdr:cNvPr id="53" name="Retângulo: Cantos Arredondados 52">
            <a:extLst>
              <a:ext uri="{FF2B5EF4-FFF2-40B4-BE49-F238E27FC236}">
                <a16:creationId xmlns:a16="http://schemas.microsoft.com/office/drawing/2014/main" id="{6CA628C2-2DC2-0927-F826-60454B8CCCE8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BA638DB-19B3-4CE2-B811-5E925D6A2E01}" type="TxLink">
              <a:rPr lang="en-US" sz="2200" b="1" i="0" u="none" strike="noStrike" kern="1200">
                <a:solidFill>
                  <a:srgbClr val="107C10"/>
                </a:solidFill>
                <a:latin typeface="+mj-lt"/>
              </a:rPr>
              <a:t>148</a:t>
            </a:fld>
            <a:endParaRPr lang="pt-BR" sz="22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5" name="Retângulo: Cantos Superiores Arredondados 54">
            <a:extLst>
              <a:ext uri="{FF2B5EF4-FFF2-40B4-BE49-F238E27FC236}">
                <a16:creationId xmlns:a16="http://schemas.microsoft.com/office/drawing/2014/main" id="{BFC3FBE4-ED71-1B1B-D65F-D5E662FD3EB4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COM RENOVAÇÃO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5147" name="Gráfico 5146">
            <a:extLst>
              <a:ext uri="{FF2B5EF4-FFF2-40B4-BE49-F238E27FC236}">
                <a16:creationId xmlns:a16="http://schemas.microsoft.com/office/drawing/2014/main" id="{D06F49ED-F9C8-EDCD-F353-5BBDA4B87DA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6">
            <a:extLst>
              <a:ext uri="{96DAC541-7B7A-43D3-8B79-37D633B846F1}">
                <asvg:svgBlip xmlns:asvg="http://schemas.microsoft.com/office/drawing/2016/SVG/main" r:embed="rId17"/>
              </a:ext>
            </a:extLst>
          </a:blip>
          <a:stretch>
            <a:fillRect/>
          </a:stretch>
        </xdr:blipFill>
        <xdr:spPr>
          <a:xfrm>
            <a:off x="9092402" y="2596866"/>
            <a:ext cx="228600" cy="228600"/>
          </a:xfrm>
          <a:prstGeom prst="rect">
            <a:avLst/>
          </a:prstGeom>
        </xdr:spPr>
      </xdr:pic>
    </xdr:grpSp>
    <xdr:clientData/>
  </xdr:twoCellAnchor>
  <xdr:twoCellAnchor editAs="absolute">
    <xdr:from>
      <xdr:col>2</xdr:col>
      <xdr:colOff>198438</xdr:colOff>
      <xdr:row>5</xdr:row>
      <xdr:rowOff>69400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157" name="Xbox Sales Intelligence — Filtros">
              <a:extLst>
                <a:ext uri="{FF2B5EF4-FFF2-40B4-BE49-F238E27FC236}">
                  <a16:creationId xmlns:a16="http://schemas.microsoft.com/office/drawing/2014/main" id="{578346BD-AAC7-4FD6-ADDA-142E0B97A13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5905" y="1110800"/>
              <a:ext cx="10638063" cy="89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182563</xdr:colOff>
      <xdr:row>28</xdr:row>
      <xdr:rowOff>88901</xdr:rowOff>
    </xdr:from>
    <xdr:to>
      <xdr:col>20</xdr:col>
      <xdr:colOff>88900</xdr:colOff>
      <xdr:row>51</xdr:row>
      <xdr:rowOff>127001</xdr:rowOff>
    </xdr:to>
    <xdr:grpSp>
      <xdr:nvGrpSpPr>
        <xdr:cNvPr id="5176" name="Agrupar 5175">
          <a:extLst>
            <a:ext uri="{FF2B5EF4-FFF2-40B4-BE49-F238E27FC236}">
              <a16:creationId xmlns:a16="http://schemas.microsoft.com/office/drawing/2014/main" id="{081BD799-16DB-F5F9-F13A-A201980F1322}"/>
            </a:ext>
          </a:extLst>
        </xdr:cNvPr>
        <xdr:cNvGrpSpPr/>
      </xdr:nvGrpSpPr>
      <xdr:grpSpPr>
        <a:xfrm>
          <a:off x="2350030" y="5245101"/>
          <a:ext cx="10726737" cy="4322233"/>
          <a:chOff x="2341563" y="5115984"/>
          <a:chExt cx="10796587" cy="4176184"/>
        </a:xfrm>
      </xdr:grpSpPr>
      <xdr:sp macro="" textlink="">
        <xdr:nvSpPr>
          <xdr:cNvPr id="5160" name="Retângulo: Cantos Arredondados 5159">
            <a:extLst>
              <a:ext uri="{FF2B5EF4-FFF2-40B4-BE49-F238E27FC236}">
                <a16:creationId xmlns:a16="http://schemas.microsoft.com/office/drawing/2014/main" id="{39C62555-BCDB-79BE-AEC9-4FA6879D1DD3}"/>
              </a:ext>
            </a:extLst>
          </xdr:cNvPr>
          <xdr:cNvSpPr/>
        </xdr:nvSpPr>
        <xdr:spPr>
          <a:xfrm>
            <a:off x="2341563" y="5115984"/>
            <a:ext cx="10796587" cy="4176184"/>
          </a:xfrm>
          <a:prstGeom prst="roundRect">
            <a:avLst>
              <a:gd name="adj" fmla="val 10158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lvl="1" algn="l"/>
            <a:endParaRPr lang="pt-BR" sz="1800" b="1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163" name="Retângulo: Cantos Superiores Arredondados 5162">
            <a:extLst>
              <a:ext uri="{FF2B5EF4-FFF2-40B4-BE49-F238E27FC236}">
                <a16:creationId xmlns:a16="http://schemas.microsoft.com/office/drawing/2014/main" id="{C00140F2-F5FD-486E-82BD-163F7ADCD0E7}"/>
              </a:ext>
            </a:extLst>
          </xdr:cNvPr>
          <xdr:cNvSpPr/>
        </xdr:nvSpPr>
        <xdr:spPr>
          <a:xfrm>
            <a:off x="2341563" y="5118476"/>
            <a:ext cx="10783967" cy="582810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1" algn="l"/>
            <a:r>
              <a:rPr lang="pt-BR" sz="1800" b="1"/>
              <a:t>   DESEMPENHO POR PLANO</a:t>
            </a:r>
          </a:p>
        </xdr:txBody>
      </xdr:sp>
      <xdr:graphicFrame macro="">
        <xdr:nvGraphicFramePr>
          <xdr:cNvPr id="5158" name="Gráfico 6">
            <a:extLst>
              <a:ext uri="{FF2B5EF4-FFF2-40B4-BE49-F238E27FC236}">
                <a16:creationId xmlns:a16="http://schemas.microsoft.com/office/drawing/2014/main" id="{281A3375-625E-7D38-BC83-495BD9077FE7}"/>
              </a:ext>
            </a:extLst>
          </xdr:cNvPr>
          <xdr:cNvGraphicFramePr/>
        </xdr:nvGraphicFramePr>
        <xdr:xfrm>
          <a:off x="2471694" y="5894035"/>
          <a:ext cx="5225091" cy="31518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  <xdr:graphicFrame macro="">
        <xdr:nvGraphicFramePr>
          <xdr:cNvPr id="5159" name="Gráfico 5158">
            <a:extLst>
              <a:ext uri="{FF2B5EF4-FFF2-40B4-BE49-F238E27FC236}">
                <a16:creationId xmlns:a16="http://schemas.microsoft.com/office/drawing/2014/main" id="{FCB4B5DD-744F-47CA-9604-4DF05F87585A}"/>
              </a:ext>
            </a:extLst>
          </xdr:cNvPr>
          <xdr:cNvGraphicFramePr>
            <a:graphicFrameLocks/>
          </xdr:cNvGraphicFramePr>
        </xdr:nvGraphicFramePr>
        <xdr:xfrm>
          <a:off x="7829494" y="5894035"/>
          <a:ext cx="5214508" cy="31518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9"/>
          </a:graphicData>
        </a:graphic>
      </xdr:graphicFrame>
      <xdr:pic>
        <xdr:nvPicPr>
          <xdr:cNvPr id="5162" name="Gráfico 5161">
            <a:extLst>
              <a:ext uri="{FF2B5EF4-FFF2-40B4-BE49-F238E27FC236}">
                <a16:creationId xmlns:a16="http://schemas.microsoft.com/office/drawing/2014/main" id="{7AA96C45-627B-393C-C8A8-7240F8EFDA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0">
            <a:extLst>
              <a:ext uri="{96DAC541-7B7A-43D3-8B79-37D633B846F1}">
                <asvg:svgBlip xmlns:asvg="http://schemas.microsoft.com/office/drawing/2016/SVG/main" r:embed="rId21"/>
              </a:ext>
            </a:extLst>
          </a:blip>
          <a:stretch>
            <a:fillRect/>
          </a:stretch>
        </xdr:blipFill>
        <xdr:spPr>
          <a:xfrm>
            <a:off x="2606577" y="5275385"/>
            <a:ext cx="361957" cy="349484"/>
          </a:xfrm>
          <a:prstGeom prst="rect">
            <a:avLst/>
          </a:prstGeom>
        </xdr:spPr>
      </xdr:pic>
    </xdr:grpSp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5175" name="Conector reto 5174">
          <a:extLst>
            <a:ext uri="{FF2B5EF4-FFF2-40B4-BE49-F238E27FC236}">
              <a16:creationId xmlns:a16="http://schemas.microsoft.com/office/drawing/2014/main" id="{EA3900E6-C293-F600-B735-918134333584}"/>
            </a:ext>
          </a:extLst>
        </xdr:cNvPr>
        <xdr:cNvCxnSpPr/>
      </xdr:nvCxnSpPr>
      <xdr:spPr>
        <a:xfrm flipH="1" flipV="1">
          <a:off x="7842247" y="6021917"/>
          <a:ext cx="3440" cy="32702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5178" name="Conector reto 5177">
          <a:extLst>
            <a:ext uri="{FF2B5EF4-FFF2-40B4-BE49-F238E27FC236}">
              <a16:creationId xmlns:a16="http://schemas.microsoft.com/office/drawing/2014/main" id="{7AA09E94-DF78-EF00-82D3-DE5D43147434}"/>
            </a:ext>
          </a:extLst>
        </xdr:cNvPr>
        <xdr:cNvCxnSpPr/>
      </xdr:nvCxnSpPr>
      <xdr:spPr>
        <a:xfrm>
          <a:off x="168774" y="1547813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1383667</xdr:colOff>
      <xdr:row>5</xdr:row>
      <xdr:rowOff>113624</xdr:rowOff>
    </xdr:to>
    <xdr:pic>
      <xdr:nvPicPr>
        <xdr:cNvPr id="5182" name="Imagem 5181">
          <a:extLst>
            <a:ext uri="{FF2B5EF4-FFF2-40B4-BE49-F238E27FC236}">
              <a16:creationId xmlns:a16="http://schemas.microsoft.com/office/drawing/2014/main" id="{12AC7268-EA18-7346-3290-13A788068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5437"/>
          <a:ext cx="828000" cy="82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1898387</xdr:colOff>
      <xdr:row>0</xdr:row>
      <xdr:rowOff>111126</xdr:rowOff>
    </xdr:from>
    <xdr:to>
      <xdr:col>2</xdr:col>
      <xdr:colOff>408192</xdr:colOff>
      <xdr:row>3</xdr:row>
      <xdr:rowOff>44608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74F5F8D-723B-4386-9616-4CB5D3F623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1505" cy="784382"/>
        </a:xfrm>
        <a:prstGeom prst="rect">
          <a:avLst/>
        </a:prstGeom>
      </xdr:spPr>
    </xdr:pic>
    <xdr:clientData/>
  </xdr:twoCellAnchor>
  <xdr:twoCellAnchor editAs="absolute">
    <xdr:from>
      <xdr:col>0</xdr:col>
      <xdr:colOff>183628</xdr:colOff>
      <xdr:row>5</xdr:row>
      <xdr:rowOff>116548</xdr:rowOff>
    </xdr:from>
    <xdr:to>
      <xdr:col>0</xdr:col>
      <xdr:colOff>1755707</xdr:colOff>
      <xdr:row>7</xdr:row>
      <xdr:rowOff>104119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25D65CD0-0C13-403B-BAE7-FAE6339461DD}"/>
            </a:ext>
          </a:extLst>
        </xdr:cNvPr>
        <xdr:cNvSpPr/>
      </xdr:nvSpPr>
      <xdr:spPr>
        <a:xfrm>
          <a:off x="177278" y="1157948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38E350D-ED24-4099-AA90-58F2BA0E5D0F}"/>
            </a:ext>
          </a:extLst>
        </xdr:cNvPr>
        <xdr:cNvSpPr/>
      </xdr:nvSpPr>
      <xdr:spPr>
        <a:xfrm>
          <a:off x="156492" y="2044700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VISÃO GERAL</a:t>
          </a: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1B72AB1-0709-4EA7-87F5-3A40880F44DB}"/>
            </a:ext>
          </a:extLst>
        </xdr:cNvPr>
        <xdr:cNvSpPr/>
      </xdr:nvSpPr>
      <xdr:spPr>
        <a:xfrm>
          <a:off x="156492" y="2592561"/>
          <a:ext cx="1620000" cy="435175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j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BBD60A6-2A3B-4C6F-B140-56E0FFDEDF02}"/>
            </a:ext>
          </a:extLst>
        </xdr:cNvPr>
        <xdr:cNvSpPr/>
      </xdr:nvSpPr>
      <xdr:spPr>
        <a:xfrm>
          <a:off x="156492" y="3140423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1B9FF22-A9A9-4CA9-81EA-41CDBE2FE922}"/>
            </a:ext>
          </a:extLst>
        </xdr:cNvPr>
        <xdr:cNvSpPr/>
      </xdr:nvSpPr>
      <xdr:spPr>
        <a:xfrm>
          <a:off x="156492" y="3688284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28F0CE8A-AECC-471A-970C-F7B45828DCB6}"/>
            </a:ext>
          </a:extLst>
        </xdr:cNvPr>
        <xdr:cNvGrpSpPr/>
      </xdr:nvGrpSpPr>
      <xdr:grpSpPr>
        <a:xfrm>
          <a:off x="2351088" y="3697965"/>
          <a:ext cx="3389313" cy="1225431"/>
          <a:chOff x="2362201" y="2531369"/>
          <a:chExt cx="3397250" cy="1251284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6ABD7CAD-4766-E24C-E5AB-C15324D097D3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3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2F5CA080-093C-530A-165C-352FE6A05B86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34B3375-BDF8-4817-9BAA-85E1B60A5F10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t>R$ 3.571,00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DEFB0EE0-E5F5-7044-2D49-674CD90BE7FE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MENSAL</a:t>
            </a:r>
          </a:p>
        </xdr:txBody>
      </xdr:sp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88B04F0C-E0B5-49DA-8836-8410837E5BBB}"/>
            </a:ext>
          </a:extLst>
        </xdr:cNvPr>
        <xdr:cNvGrpSpPr/>
      </xdr:nvGrpSpPr>
      <xdr:grpSpPr>
        <a:xfrm>
          <a:off x="9631363" y="2314207"/>
          <a:ext cx="3387725" cy="1228063"/>
          <a:chOff x="9644063" y="1110192"/>
          <a:chExt cx="3397250" cy="1251648"/>
        </a:xfrm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ACAD33AE-4888-D9E9-DE4C-8AA6928F27C7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2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CAE89087-CCB5-4883-3169-357E140BF80D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5A70B35-921B-43D4-9E28-86838E9BEDEC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t>R$ 5.388,00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6" name="Retângulo: Cantos Superiores Arredondados 15">
            <a:extLst>
              <a:ext uri="{FF2B5EF4-FFF2-40B4-BE49-F238E27FC236}">
                <a16:creationId xmlns:a16="http://schemas.microsoft.com/office/drawing/2014/main" id="{C8409F15-D554-622F-D822-6FABF3B33156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ULTIMATE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D15CBA01-83BD-47CF-8F09-C71D1069B2C0}"/>
            </a:ext>
          </a:extLst>
        </xdr:cNvPr>
        <xdr:cNvGrpSpPr/>
      </xdr:nvGrpSpPr>
      <xdr:grpSpPr>
        <a:xfrm>
          <a:off x="5998369" y="2314207"/>
          <a:ext cx="3382963" cy="1228063"/>
          <a:chOff x="6003132" y="1110192"/>
          <a:chExt cx="3397250" cy="1251648"/>
        </a:xfrm>
      </xdr:grpSpPr>
      <xdr:sp macro="" textlink="">
        <xdr:nvSpPr>
          <xdr:cNvPr id="19" name="Retângulo: Cantos Arredondados 18">
            <a:extLst>
              <a:ext uri="{FF2B5EF4-FFF2-40B4-BE49-F238E27FC236}">
                <a16:creationId xmlns:a16="http://schemas.microsoft.com/office/drawing/2014/main" id="{F4811E8D-9C52-C987-146A-C02F7BEF61CB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1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FCE1ED41-9953-FF5E-A685-10D5C00136CD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944DB62-6E4A-42FA-93E0-34FD03AE4056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t>R$ 1.801,00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1" name="Retângulo: Cantos Superiores Arredondados 20">
            <a:extLst>
              <a:ext uri="{FF2B5EF4-FFF2-40B4-BE49-F238E27FC236}">
                <a16:creationId xmlns:a16="http://schemas.microsoft.com/office/drawing/2014/main" id="{9C965900-4468-85EA-6D83-65EE2D4EDB6E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STANDARD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63E64691-A0D8-4927-9822-F2DAF68562A0}"/>
            </a:ext>
          </a:extLst>
        </xdr:cNvPr>
        <xdr:cNvGrpSpPr/>
      </xdr:nvGrpSpPr>
      <xdr:grpSpPr>
        <a:xfrm>
          <a:off x="2370138" y="2317117"/>
          <a:ext cx="3389313" cy="1225153"/>
          <a:chOff x="2362201" y="1106752"/>
          <a:chExt cx="3397250" cy="1255088"/>
        </a:xfrm>
      </xdr:grpSpPr>
      <xdr:sp macro="" textlink="">
        <xdr:nvSpPr>
          <xdr:cNvPr id="24" name="Retângulo: Cantos Arredondados 23">
            <a:extLst>
              <a:ext uri="{FF2B5EF4-FFF2-40B4-BE49-F238E27FC236}">
                <a16:creationId xmlns:a16="http://schemas.microsoft.com/office/drawing/2014/main" id="{A7E9D4F4-BF64-2599-FDE5-23EB30E17808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0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759EDA91-E9D1-9241-08E8-2D899B9222A1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4CA3030-4358-4DA4-A552-30E8B9DB54D6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t>R$ 444,00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6" name="Retângulo: Cantos Superiores Arredondados 25">
            <a:extLst>
              <a:ext uri="{FF2B5EF4-FFF2-40B4-BE49-F238E27FC236}">
                <a16:creationId xmlns:a16="http://schemas.microsoft.com/office/drawing/2014/main" id="{EBFAA615-5888-8149-1D36-333EAB7FF9E7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CORE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5EB58334-CA9E-43DB-A6AA-ACEC8E646F9E}"/>
            </a:ext>
          </a:extLst>
        </xdr:cNvPr>
        <xdr:cNvGrpSpPr/>
      </xdr:nvGrpSpPr>
      <xdr:grpSpPr>
        <a:xfrm>
          <a:off x="9631363" y="3697601"/>
          <a:ext cx="3387725" cy="1225795"/>
          <a:chOff x="9644063" y="2531005"/>
          <a:chExt cx="3397250" cy="1251648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C66B98DD-9124-9490-D7CD-95BC5A0E3B20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5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8B2EF4EA-A84F-58CD-84E6-FCFB82569173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F2AE4E6-14CE-4A52-8527-35F21E080F69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t>R$ 1.754,00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759B7FBE-5075-E2F2-F758-E10D2A04C2E1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ANUAL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C322227-6A3E-47A6-917A-EAFFE83D7790}"/>
            </a:ext>
          </a:extLst>
        </xdr:cNvPr>
        <xdr:cNvGrpSpPr/>
      </xdr:nvGrpSpPr>
      <xdr:grpSpPr>
        <a:xfrm>
          <a:off x="5998369" y="3697601"/>
          <a:ext cx="3382963" cy="1225795"/>
          <a:chOff x="6003132" y="2531005"/>
          <a:chExt cx="3397250" cy="1251648"/>
        </a:xfrm>
      </xdr:grpSpPr>
      <xdr:sp macro="" textlink="">
        <xdr:nvSpPr>
          <xdr:cNvPr id="34" name="Retângulo: Cantos Arredondados 33">
            <a:extLst>
              <a:ext uri="{FF2B5EF4-FFF2-40B4-BE49-F238E27FC236}">
                <a16:creationId xmlns:a16="http://schemas.microsoft.com/office/drawing/2014/main" id="{1DE545E4-1B12-7B8D-4E1E-50229F53EC46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4">
        <xdr:nvSpPr>
          <xdr:cNvPr id="35" name="Retângulo: Cantos Arredondados 34">
            <a:extLst>
              <a:ext uri="{FF2B5EF4-FFF2-40B4-BE49-F238E27FC236}">
                <a16:creationId xmlns:a16="http://schemas.microsoft.com/office/drawing/2014/main" id="{0ED61A95-DC1E-C4C4-52B6-7B6A05F5F71D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55D3C240-0694-498E-9C44-55D930F08602}" type="TxLink">
              <a:rPr lang="en-US" sz="2000" b="1" i="0" u="none" strike="noStrike" kern="1200">
                <a:solidFill>
                  <a:srgbClr val="107C10"/>
                </a:solidFill>
                <a:latin typeface="+mj-lt"/>
              </a:rPr>
              <a:t>R$ 2.308,00</a:t>
            </a:fld>
            <a:endParaRPr lang="pt-BR" sz="20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6" name="Retângulo: Cantos Superiores Arredondados 35">
            <a:extLst>
              <a:ext uri="{FF2B5EF4-FFF2-40B4-BE49-F238E27FC236}">
                <a16:creationId xmlns:a16="http://schemas.microsoft.com/office/drawing/2014/main" id="{17C20405-9AC9-83E0-9ED1-554BD37BC81A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RECEITA TRIMESTRAL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201613</xdr:colOff>
      <xdr:row>5</xdr:row>
      <xdr:rowOff>66225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8" name="Xbox Sales Intelligence — Filtros 1">
              <a:extLst>
                <a:ext uri="{FF2B5EF4-FFF2-40B4-BE49-F238E27FC236}">
                  <a16:creationId xmlns:a16="http://schemas.microsoft.com/office/drawing/2014/main" id="{F797B045-5B68-48E0-80AF-8B2509EEEB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9080" y="1107625"/>
              <a:ext cx="10634888" cy="899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182563</xdr:colOff>
      <xdr:row>28</xdr:row>
      <xdr:rowOff>82551</xdr:rowOff>
    </xdr:from>
    <xdr:to>
      <xdr:col>20</xdr:col>
      <xdr:colOff>82550</xdr:colOff>
      <xdr:row>51</xdr:row>
      <xdr:rowOff>120651</xdr:rowOff>
    </xdr:to>
    <xdr:sp macro="" textlink="">
      <xdr:nvSpPr>
        <xdr:cNvPr id="40" name="Retângulo: Cantos Arredondados 39">
          <a:extLst>
            <a:ext uri="{FF2B5EF4-FFF2-40B4-BE49-F238E27FC236}">
              <a16:creationId xmlns:a16="http://schemas.microsoft.com/office/drawing/2014/main" id="{476135BA-215F-30A2-E90E-D55D329E9348}"/>
            </a:ext>
          </a:extLst>
        </xdr:cNvPr>
        <xdr:cNvSpPr/>
      </xdr:nvSpPr>
      <xdr:spPr>
        <a:xfrm>
          <a:off x="2341563" y="5115984"/>
          <a:ext cx="10796587" cy="4176184"/>
        </a:xfrm>
        <a:prstGeom prst="roundRect">
          <a:avLst>
            <a:gd name="adj" fmla="val 1015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1" algn="l"/>
          <a:endParaRPr lang="pt-BR" sz="1800" b="1">
            <a:solidFill>
              <a:srgbClr val="107C10"/>
            </a:solidFill>
            <a:latin typeface="+mj-lt"/>
          </a:endParaRPr>
        </a:p>
      </xdr:txBody>
    </xdr:sp>
    <xdr:clientData/>
  </xdr:twoCellAnchor>
  <xdr:twoCellAnchor>
    <xdr:from>
      <xdr:col>2</xdr:col>
      <xdr:colOff>182563</xdr:colOff>
      <xdr:row>28</xdr:row>
      <xdr:rowOff>91393</xdr:rowOff>
    </xdr:from>
    <xdr:to>
      <xdr:col>20</xdr:col>
      <xdr:colOff>76280</xdr:colOff>
      <xdr:row>31</xdr:row>
      <xdr:rowOff>134453</xdr:rowOff>
    </xdr:to>
    <xdr:sp macro="" textlink="">
      <xdr:nvSpPr>
        <xdr:cNvPr id="41" name="Retângulo: Cantos Superiores Arredondados 40">
          <a:extLst>
            <a:ext uri="{FF2B5EF4-FFF2-40B4-BE49-F238E27FC236}">
              <a16:creationId xmlns:a16="http://schemas.microsoft.com/office/drawing/2014/main" id="{5965234B-6959-4DEE-16DD-6A1BB20248CE}"/>
            </a:ext>
          </a:extLst>
        </xdr:cNvPr>
        <xdr:cNvSpPr/>
      </xdr:nvSpPr>
      <xdr:spPr>
        <a:xfrm>
          <a:off x="2341563" y="5118476"/>
          <a:ext cx="10783967" cy="582810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800" b="1"/>
            <a:t>   ANÁLISE DE FATURAMENTO</a:t>
          </a:r>
        </a:p>
      </xdr:txBody>
    </xdr:sp>
    <xdr:clientData/>
  </xdr:twoCellAnchor>
  <xdr:twoCellAnchor>
    <xdr:from>
      <xdr:col>2</xdr:col>
      <xdr:colOff>447577</xdr:colOff>
      <xdr:row>29</xdr:row>
      <xdr:rowOff>68385</xdr:rowOff>
    </xdr:from>
    <xdr:to>
      <xdr:col>3</xdr:col>
      <xdr:colOff>195701</xdr:colOff>
      <xdr:row>31</xdr:row>
      <xdr:rowOff>58036</xdr:rowOff>
    </xdr:to>
    <xdr:pic>
      <xdr:nvPicPr>
        <xdr:cNvPr id="44" name="Gráfico 43">
          <a:extLst>
            <a:ext uri="{FF2B5EF4-FFF2-40B4-BE49-F238E27FC236}">
              <a16:creationId xmlns:a16="http://schemas.microsoft.com/office/drawing/2014/main" id="{3158B83D-01A0-9D3F-3A21-00241BAA6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606577" y="5275385"/>
          <a:ext cx="361957" cy="349484"/>
        </a:xfrm>
        <a:prstGeom prst="rect">
          <a:avLst/>
        </a:prstGeom>
      </xdr:spPr>
    </xdr:pic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45" name="Conector reto 44">
          <a:extLst>
            <a:ext uri="{FF2B5EF4-FFF2-40B4-BE49-F238E27FC236}">
              <a16:creationId xmlns:a16="http://schemas.microsoft.com/office/drawing/2014/main" id="{6710B0FE-DC93-4505-9993-9FF5D7AD4C7E}"/>
            </a:ext>
          </a:extLst>
        </xdr:cNvPr>
        <xdr:cNvCxnSpPr/>
      </xdr:nvCxnSpPr>
      <xdr:spPr>
        <a:xfrm flipH="1" flipV="1">
          <a:off x="7810497" y="6127750"/>
          <a:ext cx="3440" cy="33464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46" name="Conector reto 45">
          <a:extLst>
            <a:ext uri="{FF2B5EF4-FFF2-40B4-BE49-F238E27FC236}">
              <a16:creationId xmlns:a16="http://schemas.microsoft.com/office/drawing/2014/main" id="{ED8EC5FD-E278-4618-83D4-4697F6AF2594}"/>
            </a:ext>
          </a:extLst>
        </xdr:cNvPr>
        <xdr:cNvCxnSpPr/>
      </xdr:nvCxnSpPr>
      <xdr:spPr>
        <a:xfrm>
          <a:off x="168774" y="1546225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1380492</xdr:colOff>
      <xdr:row>5</xdr:row>
      <xdr:rowOff>113624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A40B56EA-4F59-4AED-9CDD-B8F15540B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7024"/>
          <a:ext cx="828000" cy="828000"/>
        </a:xfrm>
        <a:prstGeom prst="rect">
          <a:avLst/>
        </a:prstGeom>
      </xdr:spPr>
    </xdr:pic>
    <xdr:clientData/>
  </xdr:twoCellAnchor>
  <xdr:twoCellAnchor editAs="oneCell">
    <xdr:from>
      <xdr:col>7</xdr:col>
      <xdr:colOff>226796</xdr:colOff>
      <xdr:row>13</xdr:row>
      <xdr:rowOff>23812</xdr:rowOff>
    </xdr:from>
    <xdr:to>
      <xdr:col>7</xdr:col>
      <xdr:colOff>457196</xdr:colOff>
      <xdr:row>14</xdr:row>
      <xdr:rowOff>65300</xdr:rowOff>
    </xdr:to>
    <xdr:pic>
      <xdr:nvPicPr>
        <xdr:cNvPr id="49" name="Gráfico 48">
          <a:extLst>
            <a:ext uri="{FF2B5EF4-FFF2-40B4-BE49-F238E27FC236}">
              <a16:creationId xmlns:a16="http://schemas.microsoft.com/office/drawing/2014/main" id="{C1D6CD87-F718-505D-3E97-A6F1C2F8C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449671" y="236537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13</xdr:row>
      <xdr:rowOff>45357</xdr:rowOff>
    </xdr:from>
    <xdr:to>
      <xdr:col>13</xdr:col>
      <xdr:colOff>560732</xdr:colOff>
      <xdr:row>14</xdr:row>
      <xdr:rowOff>94329</xdr:rowOff>
    </xdr:to>
    <xdr:pic>
      <xdr:nvPicPr>
        <xdr:cNvPr id="51" name="Gráfico 50">
          <a:extLst>
            <a:ext uri="{FF2B5EF4-FFF2-40B4-BE49-F238E27FC236}">
              <a16:creationId xmlns:a16="http://schemas.microsoft.com/office/drawing/2014/main" id="{53A78678-54F0-DF3F-E8DF-8EDFC93E9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9027111" y="2385786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13</xdr:row>
      <xdr:rowOff>27213</xdr:rowOff>
    </xdr:from>
    <xdr:to>
      <xdr:col>19</xdr:col>
      <xdr:colOff>540889</xdr:colOff>
      <xdr:row>14</xdr:row>
      <xdr:rowOff>76185</xdr:rowOff>
    </xdr:to>
    <xdr:pic>
      <xdr:nvPicPr>
        <xdr:cNvPr id="53" name="Gráfico 52">
          <a:extLst>
            <a:ext uri="{FF2B5EF4-FFF2-40B4-BE49-F238E27FC236}">
              <a16:creationId xmlns:a16="http://schemas.microsoft.com/office/drawing/2014/main" id="{7E5964BC-BD95-B831-575C-46ED5D3A5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2647632" y="2367642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202766</xdr:colOff>
      <xdr:row>20</xdr:row>
      <xdr:rowOff>163285</xdr:rowOff>
    </xdr:from>
    <xdr:to>
      <xdr:col>7</xdr:col>
      <xdr:colOff>426816</xdr:colOff>
      <xdr:row>22</xdr:row>
      <xdr:rowOff>30828</xdr:rowOff>
    </xdr:to>
    <xdr:pic>
      <xdr:nvPicPr>
        <xdr:cNvPr id="55" name="Gráfico 54">
          <a:extLst>
            <a:ext uri="{FF2B5EF4-FFF2-40B4-BE49-F238E27FC236}">
              <a16:creationId xmlns:a16="http://schemas.microsoft.com/office/drawing/2014/main" id="{EF89F718-1FC8-014A-BC45-807598473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5400695" y="3773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20</xdr:row>
      <xdr:rowOff>172356</xdr:rowOff>
    </xdr:from>
    <xdr:to>
      <xdr:col>13</xdr:col>
      <xdr:colOff>560732</xdr:colOff>
      <xdr:row>22</xdr:row>
      <xdr:rowOff>39899</xdr:rowOff>
    </xdr:to>
    <xdr:pic>
      <xdr:nvPicPr>
        <xdr:cNvPr id="57" name="Gráfico 56">
          <a:extLst>
            <a:ext uri="{FF2B5EF4-FFF2-40B4-BE49-F238E27FC236}">
              <a16:creationId xmlns:a16="http://schemas.microsoft.com/office/drawing/2014/main" id="{C0E88899-DFA8-18A8-A0F7-29177707C3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9027111" y="378278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20</xdr:row>
      <xdr:rowOff>172356</xdr:rowOff>
    </xdr:from>
    <xdr:to>
      <xdr:col>19</xdr:col>
      <xdr:colOff>540889</xdr:colOff>
      <xdr:row>22</xdr:row>
      <xdr:rowOff>39899</xdr:rowOff>
    </xdr:to>
    <xdr:pic>
      <xdr:nvPicPr>
        <xdr:cNvPr id="59" name="Gráfico 58">
          <a:extLst>
            <a:ext uri="{FF2B5EF4-FFF2-40B4-BE49-F238E27FC236}">
              <a16:creationId xmlns:a16="http://schemas.microsoft.com/office/drawing/2014/main" id="{EF7C3A01-1F92-DACD-FA6B-3B0A89F13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12647632" y="3782785"/>
          <a:ext cx="230400" cy="230400"/>
        </a:xfrm>
        <a:prstGeom prst="rect">
          <a:avLst/>
        </a:prstGeom>
      </xdr:spPr>
    </xdr:pic>
    <xdr:clientData/>
  </xdr:twoCellAnchor>
  <xdr:twoCellAnchor>
    <xdr:from>
      <xdr:col>2</xdr:col>
      <xdr:colOff>338671</xdr:colOff>
      <xdr:row>32</xdr:row>
      <xdr:rowOff>137580</xdr:rowOff>
    </xdr:from>
    <xdr:to>
      <xdr:col>11</xdr:col>
      <xdr:colOff>37771</xdr:colOff>
      <xdr:row>50</xdr:row>
      <xdr:rowOff>52680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FCE2D45D-A3BC-4C38-956F-CF0C27BF2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11</xdr:col>
      <xdr:colOff>264576</xdr:colOff>
      <xdr:row>32</xdr:row>
      <xdr:rowOff>137580</xdr:rowOff>
    </xdr:from>
    <xdr:to>
      <xdr:col>20</xdr:col>
      <xdr:colOff>122426</xdr:colOff>
      <xdr:row>50</xdr:row>
      <xdr:rowOff>52680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ED655B39-AF5D-434F-8F97-11532305A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</xdr:col>
      <xdr:colOff>182563</xdr:colOff>
      <xdr:row>53</xdr:row>
      <xdr:rowOff>76199</xdr:rowOff>
    </xdr:from>
    <xdr:to>
      <xdr:col>10</xdr:col>
      <xdr:colOff>457730</xdr:colOff>
      <xdr:row>60</xdr:row>
      <xdr:rowOff>50680</xdr:rowOff>
    </xdr:to>
    <xdr:grpSp>
      <xdr:nvGrpSpPr>
        <xdr:cNvPr id="62" name="Agrupar 61">
          <a:extLst>
            <a:ext uri="{FF2B5EF4-FFF2-40B4-BE49-F238E27FC236}">
              <a16:creationId xmlns:a16="http://schemas.microsoft.com/office/drawing/2014/main" id="{F2F6A84A-2B5F-4F45-8D3F-07B6C9BEFF05}"/>
            </a:ext>
          </a:extLst>
        </xdr:cNvPr>
        <xdr:cNvGrpSpPr/>
      </xdr:nvGrpSpPr>
      <xdr:grpSpPr>
        <a:xfrm>
          <a:off x="2351088" y="9537699"/>
          <a:ext cx="5155142" cy="1215906"/>
          <a:chOff x="2362201" y="2531369"/>
          <a:chExt cx="3397250" cy="1251284"/>
        </a:xfrm>
      </xdr:grpSpPr>
      <xdr:sp macro="" textlink="">
        <xdr:nvSpPr>
          <xdr:cNvPr id="63" name="Retângulo: Cantos Arredondados 62">
            <a:extLst>
              <a:ext uri="{FF2B5EF4-FFF2-40B4-BE49-F238E27FC236}">
                <a16:creationId xmlns:a16="http://schemas.microsoft.com/office/drawing/2014/main" id="{09B9ECB3-CE85-DF7F-7ECD-E72EF9C10ABD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6">
        <xdr:nvSpPr>
          <xdr:cNvPr id="64" name="Retângulo: Cantos Arredondados 63">
            <a:extLst>
              <a:ext uri="{FF2B5EF4-FFF2-40B4-BE49-F238E27FC236}">
                <a16:creationId xmlns:a16="http://schemas.microsoft.com/office/drawing/2014/main" id="{6D93D17D-8AF8-D90D-1F55-1ACA3F0A3079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293AE36-8793-4E48-B5F0-A8B6837FEFA8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Ultimate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65" name="Retângulo: Cantos Superiores Arredondados 64">
            <a:extLst>
              <a:ext uri="{FF2B5EF4-FFF2-40B4-BE49-F238E27FC236}">
                <a16:creationId xmlns:a16="http://schemas.microsoft.com/office/drawing/2014/main" id="{71BA53DA-48EA-CE4C-8815-6D94133215A4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solidFill>
                  <a:schemeClr val="bg1"/>
                </a:solidFill>
                <a:latin typeface="+mj-lt"/>
              </a:rPr>
              <a:t>PLANO LÍDER</a:t>
            </a:r>
          </a:p>
        </xdr:txBody>
      </xdr:sp>
    </xdr:grpSp>
    <xdr:clientData/>
  </xdr:twoCellAnchor>
  <xdr:twoCellAnchor>
    <xdr:from>
      <xdr:col>11</xdr:col>
      <xdr:colOff>268816</xdr:colOff>
      <xdr:row>53</xdr:row>
      <xdr:rowOff>76199</xdr:rowOff>
    </xdr:from>
    <xdr:to>
      <xdr:col>20</xdr:col>
      <xdr:colOff>88900</xdr:colOff>
      <xdr:row>60</xdr:row>
      <xdr:rowOff>50680</xdr:rowOff>
    </xdr:to>
    <xdr:grpSp>
      <xdr:nvGrpSpPr>
        <xdr:cNvPr id="74" name="Agrupar 73">
          <a:extLst>
            <a:ext uri="{FF2B5EF4-FFF2-40B4-BE49-F238E27FC236}">
              <a16:creationId xmlns:a16="http://schemas.microsoft.com/office/drawing/2014/main" id="{C7E04EDF-BC3B-653E-BF66-66BEC7036A6C}"/>
            </a:ext>
          </a:extLst>
        </xdr:cNvPr>
        <xdr:cNvGrpSpPr/>
      </xdr:nvGrpSpPr>
      <xdr:grpSpPr>
        <a:xfrm>
          <a:off x="7926916" y="9537699"/>
          <a:ext cx="5150909" cy="1215906"/>
          <a:chOff x="2362201" y="2531369"/>
          <a:chExt cx="3397250" cy="1251284"/>
        </a:xfrm>
      </xdr:grpSpPr>
      <xdr:sp macro="" textlink="">
        <xdr:nvSpPr>
          <xdr:cNvPr id="75" name="Retângulo: Cantos Arredondados 74">
            <a:extLst>
              <a:ext uri="{FF2B5EF4-FFF2-40B4-BE49-F238E27FC236}">
                <a16:creationId xmlns:a16="http://schemas.microsoft.com/office/drawing/2014/main" id="{8FDD6453-2B77-6F63-3F66-F923C96B7ADA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27">
        <xdr:nvSpPr>
          <xdr:cNvPr id="76" name="Retângulo: Cantos Arredondados 75">
            <a:extLst>
              <a:ext uri="{FF2B5EF4-FFF2-40B4-BE49-F238E27FC236}">
                <a16:creationId xmlns:a16="http://schemas.microsoft.com/office/drawing/2014/main" id="{1B28CEF3-42FD-65AD-57B8-78B44E7B86BF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B2F10E6-DDA5-4DCE-848A-0F79B4AAEBD7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Monthly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77" name="Retângulo: Cantos Superiores Arredondados 76">
            <a:extLst>
              <a:ext uri="{FF2B5EF4-FFF2-40B4-BE49-F238E27FC236}">
                <a16:creationId xmlns:a16="http://schemas.microsoft.com/office/drawing/2014/main" id="{4E45C62E-512D-C07A-6D62-A6F0358F3105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solidFill>
                  <a:schemeClr val="bg1"/>
                </a:solidFill>
                <a:latin typeface="+mj-lt"/>
              </a:rPr>
              <a:t>MODALIDADE LÍDER</a:t>
            </a:r>
          </a:p>
        </xdr:txBody>
      </xdr:sp>
    </xdr:grpSp>
    <xdr:clientData/>
  </xdr:twoCellAnchor>
  <xdr:twoCellAnchor editAs="oneCell">
    <xdr:from>
      <xdr:col>10</xdr:col>
      <xdr:colOff>121500</xdr:colOff>
      <xdr:row>53</xdr:row>
      <xdr:rowOff>148167</xdr:rowOff>
    </xdr:from>
    <xdr:to>
      <xdr:col>10</xdr:col>
      <xdr:colOff>351900</xdr:colOff>
      <xdr:row>55</xdr:row>
      <xdr:rowOff>18734</xdr:rowOff>
    </xdr:to>
    <xdr:pic>
      <xdr:nvPicPr>
        <xdr:cNvPr id="79" name="Gráfico 78">
          <a:extLst>
            <a:ext uri="{FF2B5EF4-FFF2-40B4-BE49-F238E27FC236}">
              <a16:creationId xmlns:a16="http://schemas.microsoft.com/office/drawing/2014/main" id="{8F6C4506-618F-29F9-A3AD-1E5A42F4D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7191167" y="9673167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366503</xdr:colOff>
      <xdr:row>53</xdr:row>
      <xdr:rowOff>137582</xdr:rowOff>
    </xdr:from>
    <xdr:to>
      <xdr:col>19</xdr:col>
      <xdr:colOff>596903</xdr:colOff>
      <xdr:row>55</xdr:row>
      <xdr:rowOff>8149</xdr:rowOff>
    </xdr:to>
    <xdr:pic>
      <xdr:nvPicPr>
        <xdr:cNvPr id="81" name="Gráfico 80">
          <a:extLst>
            <a:ext uri="{FF2B5EF4-FFF2-40B4-BE49-F238E27FC236}">
              <a16:creationId xmlns:a16="http://schemas.microsoft.com/office/drawing/2014/main" id="{B455E3DA-FF14-5EDE-C9D2-E3A9F1337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12801920" y="9662582"/>
          <a:ext cx="230400" cy="23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1895212</xdr:colOff>
      <xdr:row>0</xdr:row>
      <xdr:rowOff>111126</xdr:rowOff>
    </xdr:from>
    <xdr:to>
      <xdr:col>2</xdr:col>
      <xdr:colOff>411367</xdr:colOff>
      <xdr:row>3</xdr:row>
      <xdr:rowOff>47783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C8952AA-525B-4F21-AADC-D450969871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1505" cy="784382"/>
        </a:xfrm>
        <a:prstGeom prst="rect">
          <a:avLst/>
        </a:prstGeom>
      </xdr:spPr>
    </xdr:pic>
    <xdr:clientData/>
  </xdr:twoCellAnchor>
  <xdr:twoCellAnchor editAs="absolute">
    <xdr:from>
      <xdr:col>0</xdr:col>
      <xdr:colOff>180453</xdr:colOff>
      <xdr:row>5</xdr:row>
      <xdr:rowOff>116548</xdr:rowOff>
    </xdr:from>
    <xdr:to>
      <xdr:col>0</xdr:col>
      <xdr:colOff>1755707</xdr:colOff>
      <xdr:row>7</xdr:row>
      <xdr:rowOff>107294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03B9B0-BB5B-4F53-936A-F301F76A54EB}"/>
            </a:ext>
          </a:extLst>
        </xdr:cNvPr>
        <xdr:cNvSpPr/>
      </xdr:nvSpPr>
      <xdr:spPr>
        <a:xfrm>
          <a:off x="177278" y="1157948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0D15F2B-3A26-4912-891B-158F7E80AA83}"/>
            </a:ext>
          </a:extLst>
        </xdr:cNvPr>
        <xdr:cNvSpPr/>
      </xdr:nvSpPr>
      <xdr:spPr>
        <a:xfrm>
          <a:off x="156492" y="2044700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VISÃO GERAL</a:t>
          </a: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8BF8586-51DB-466B-BF53-A0D971864A0A}"/>
            </a:ext>
          </a:extLst>
        </xdr:cNvPr>
        <xdr:cNvSpPr/>
      </xdr:nvSpPr>
      <xdr:spPr>
        <a:xfrm>
          <a:off x="156492" y="2592561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1D28667-5F75-413F-8E02-59E1306B7991}"/>
            </a:ext>
          </a:extLst>
        </xdr:cNvPr>
        <xdr:cNvSpPr/>
      </xdr:nvSpPr>
      <xdr:spPr>
        <a:xfrm>
          <a:off x="156492" y="3140423"/>
          <a:ext cx="1620000" cy="435175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89A32F1-3176-4688-BD09-3537FAEF216B}"/>
            </a:ext>
          </a:extLst>
        </xdr:cNvPr>
        <xdr:cNvSpPr/>
      </xdr:nvSpPr>
      <xdr:spPr>
        <a:xfrm>
          <a:off x="156492" y="3688284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EC4E9F78-E04C-40B1-BE8C-950F7F1C0600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6D11199C-A413-509A-2B26-A98B51CBF7AB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5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5B4A11B0-53FF-7EE0-C490-B357EF0E4ED3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6FE8199F-7440-4E07-B2E5-4CBC656F9058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43,11%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F45DF11B-A58C-921C-CD4B-586CCE59A926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PARTICIPAÇÃO EA PLAY</a:t>
            </a:r>
          </a:p>
        </xdr:txBody>
      </xdr:sp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25806034-8FBA-4FDC-ABB9-0931432BFB13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37A2A153-342D-4C5D-8D6B-591F9E124A23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4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A7019F83-81E0-1021-57ED-B91E5FB1ED77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FD16DD5-1159-49E7-8A0B-60E368F0A63C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R$ 6.820,00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D5162C37-9683-20CF-7572-2A1CE74B8ED7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COMPLEMENTOS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B822461E-0A57-47F9-BE72-7CC8F1F25C51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19C1B823-CB3B-D253-EB24-4D8154611A64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3">
        <xdr:nvSpPr>
          <xdr:cNvPr id="18" name="Retângulo: Cantos Arredondados 17">
            <a:extLst>
              <a:ext uri="{FF2B5EF4-FFF2-40B4-BE49-F238E27FC236}">
                <a16:creationId xmlns:a16="http://schemas.microsoft.com/office/drawing/2014/main" id="{3B8D5953-33DB-AFB2-2353-C455399B6CF0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286FC7A-5F7D-44D8-9B8C-C68AA34052CE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R$ 3.880,00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9" name="Retângulo: Cantos Superiores Arredondados 18">
            <a:extLst>
              <a:ext uri="{FF2B5EF4-FFF2-40B4-BE49-F238E27FC236}">
                <a16:creationId xmlns:a16="http://schemas.microsoft.com/office/drawing/2014/main" id="{1F9B2D94-982B-B1B9-D793-556BEBF3E354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MINECRAFT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DCC32158-6AFC-4C24-88E2-77777F58A843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6518AD32-33B4-478C-ADEC-64524827A23C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2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82D5C124-403B-17D7-4894-0BE05BA1DEF9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2497A371-B4ED-41DB-9A7E-A754D1BD19B3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R$ 2.940,00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3" name="Retângulo: Cantos Superiores Arredondados 22">
            <a:extLst>
              <a:ext uri="{FF2B5EF4-FFF2-40B4-BE49-F238E27FC236}">
                <a16:creationId xmlns:a16="http://schemas.microsoft.com/office/drawing/2014/main" id="{35351068-297D-1822-D05C-B9B3162075A9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RECEITA EA PLAY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24" name="Agrupar 23">
          <a:extLst>
            <a:ext uri="{FF2B5EF4-FFF2-40B4-BE49-F238E27FC236}">
              <a16:creationId xmlns:a16="http://schemas.microsoft.com/office/drawing/2014/main" id="{1F1DC7F0-A0EB-42CC-A711-92A888722E58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1C44D1B1-E37A-E44D-E15D-C4FC9BB04520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9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D2E14CF5-35E8-0CB7-08FB-3AB5D8AE4881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FB25095A-EDC8-44D2-BB43-4280A9C00958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Minecraft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7" name="Retângulo: Cantos Superiores Arredondados 26">
            <a:extLst>
              <a:ext uri="{FF2B5EF4-FFF2-40B4-BE49-F238E27FC236}">
                <a16:creationId xmlns:a16="http://schemas.microsoft.com/office/drawing/2014/main" id="{0F12E645-F41A-C6C1-F858-CFF0630D212B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COMPLEMENTO LÍDER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74115AAC-590B-452F-AE83-C85FCFE26003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5882A83E-D3D0-DB9C-4652-C42503323927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6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8E0B4A1E-8C4C-E518-E530-900E7B447AF4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1CAF83B-34E4-4269-A423-0BE673CCFC46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56,89%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0A3BAF9E-EADB-27B1-8FAC-A48A266B4929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PARTICIPAÇÃO MINECRAFT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198438</xdr:colOff>
      <xdr:row>5</xdr:row>
      <xdr:rowOff>69400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2" name="Xbox Sales Intelligence — Filtros 2">
              <a:extLst>
                <a:ext uri="{FF2B5EF4-FFF2-40B4-BE49-F238E27FC236}">
                  <a16:creationId xmlns:a16="http://schemas.microsoft.com/office/drawing/2014/main" id="{78603372-B718-46B4-8AEE-17E3A4DABA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5905" y="1110800"/>
              <a:ext cx="10638063" cy="89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179388</xdr:colOff>
      <xdr:row>28</xdr:row>
      <xdr:rowOff>85726</xdr:rowOff>
    </xdr:from>
    <xdr:to>
      <xdr:col>20</xdr:col>
      <xdr:colOff>85725</xdr:colOff>
      <xdr:row>51</xdr:row>
      <xdr:rowOff>123826</xdr:rowOff>
    </xdr:to>
    <xdr:sp macro="" textlink="">
      <xdr:nvSpPr>
        <xdr:cNvPr id="33" name="Retângulo: Cantos Arredondados 32">
          <a:extLst>
            <a:ext uri="{FF2B5EF4-FFF2-40B4-BE49-F238E27FC236}">
              <a16:creationId xmlns:a16="http://schemas.microsoft.com/office/drawing/2014/main" id="{706BB6F4-7F81-4800-B124-0478E26ABCB6}"/>
            </a:ext>
          </a:extLst>
        </xdr:cNvPr>
        <xdr:cNvSpPr/>
      </xdr:nvSpPr>
      <xdr:spPr>
        <a:xfrm>
          <a:off x="2347913" y="5200651"/>
          <a:ext cx="10726737" cy="4273550"/>
        </a:xfrm>
        <a:prstGeom prst="roundRect">
          <a:avLst>
            <a:gd name="adj" fmla="val 1015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1" algn="l"/>
          <a:endParaRPr lang="pt-BR" sz="1800" b="1">
            <a:solidFill>
              <a:srgbClr val="107C10"/>
            </a:solidFill>
            <a:latin typeface="+mj-lt"/>
          </a:endParaRPr>
        </a:p>
      </xdr:txBody>
    </xdr:sp>
    <xdr:clientData/>
  </xdr:twoCellAnchor>
  <xdr:twoCellAnchor>
    <xdr:from>
      <xdr:col>2</xdr:col>
      <xdr:colOff>182563</xdr:colOff>
      <xdr:row>28</xdr:row>
      <xdr:rowOff>91393</xdr:rowOff>
    </xdr:from>
    <xdr:to>
      <xdr:col>20</xdr:col>
      <xdr:colOff>76280</xdr:colOff>
      <xdr:row>31</xdr:row>
      <xdr:rowOff>134453</xdr:rowOff>
    </xdr:to>
    <xdr:sp macro="" textlink="">
      <xdr:nvSpPr>
        <xdr:cNvPr id="34" name="Retângulo: Cantos Superiores Arredondados 33">
          <a:extLst>
            <a:ext uri="{FF2B5EF4-FFF2-40B4-BE49-F238E27FC236}">
              <a16:creationId xmlns:a16="http://schemas.microsoft.com/office/drawing/2014/main" id="{47E99DA3-D0FA-4645-8102-82E48A3089C6}"/>
            </a:ext>
          </a:extLst>
        </xdr:cNvPr>
        <xdr:cNvSpPr/>
      </xdr:nvSpPr>
      <xdr:spPr>
        <a:xfrm>
          <a:off x="2347913" y="5203143"/>
          <a:ext cx="10714117" cy="595510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800" b="1"/>
            <a:t>   ANÁLISE DE COMPLEMENTOS</a:t>
          </a:r>
        </a:p>
      </xdr:txBody>
    </xdr:sp>
    <xdr:clientData/>
  </xdr:twoCellAnchor>
  <xdr:twoCellAnchor>
    <xdr:from>
      <xdr:col>2</xdr:col>
      <xdr:colOff>447577</xdr:colOff>
      <xdr:row>29</xdr:row>
      <xdr:rowOff>68385</xdr:rowOff>
    </xdr:from>
    <xdr:to>
      <xdr:col>3</xdr:col>
      <xdr:colOff>195701</xdr:colOff>
      <xdr:row>31</xdr:row>
      <xdr:rowOff>58036</xdr:rowOff>
    </xdr:to>
    <xdr:pic>
      <xdr:nvPicPr>
        <xdr:cNvPr id="35" name="Gráfico 34">
          <a:extLst>
            <a:ext uri="{FF2B5EF4-FFF2-40B4-BE49-F238E27FC236}">
              <a16:creationId xmlns:a16="http://schemas.microsoft.com/office/drawing/2014/main" id="{920BE470-13DB-403B-8277-5AF78F904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612927" y="5364285"/>
          <a:ext cx="357724" cy="357951"/>
        </a:xfrm>
        <a:prstGeom prst="rect">
          <a:avLst/>
        </a:prstGeom>
      </xdr:spPr>
    </xdr:pic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36" name="Conector reto 35">
          <a:extLst>
            <a:ext uri="{FF2B5EF4-FFF2-40B4-BE49-F238E27FC236}">
              <a16:creationId xmlns:a16="http://schemas.microsoft.com/office/drawing/2014/main" id="{B33461F0-EB44-4B9B-8C7D-53887E2ED88C}"/>
            </a:ext>
          </a:extLst>
        </xdr:cNvPr>
        <xdr:cNvCxnSpPr/>
      </xdr:nvCxnSpPr>
      <xdr:spPr>
        <a:xfrm flipH="1" flipV="1">
          <a:off x="7810497" y="6127750"/>
          <a:ext cx="3440" cy="33464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37" name="Conector reto 36">
          <a:extLst>
            <a:ext uri="{FF2B5EF4-FFF2-40B4-BE49-F238E27FC236}">
              <a16:creationId xmlns:a16="http://schemas.microsoft.com/office/drawing/2014/main" id="{0F571AF9-59C6-48BC-8F03-54F333D3635E}"/>
            </a:ext>
          </a:extLst>
        </xdr:cNvPr>
        <xdr:cNvCxnSpPr/>
      </xdr:nvCxnSpPr>
      <xdr:spPr>
        <a:xfrm>
          <a:off x="168774" y="1546225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1383667</xdr:colOff>
      <xdr:row>5</xdr:row>
      <xdr:rowOff>113624</xdr:rowOff>
    </xdr:to>
    <xdr:pic>
      <xdr:nvPicPr>
        <xdr:cNvPr id="38" name="Imagem 37">
          <a:extLst>
            <a:ext uri="{FF2B5EF4-FFF2-40B4-BE49-F238E27FC236}">
              <a16:creationId xmlns:a16="http://schemas.microsoft.com/office/drawing/2014/main" id="{914BF3A9-F5D4-4080-B398-8892119A59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7024"/>
          <a:ext cx="828000" cy="828000"/>
        </a:xfrm>
        <a:prstGeom prst="rect">
          <a:avLst/>
        </a:prstGeom>
      </xdr:spPr>
    </xdr:pic>
    <xdr:clientData/>
  </xdr:twoCellAnchor>
  <xdr:twoCellAnchor>
    <xdr:from>
      <xdr:col>2</xdr:col>
      <xdr:colOff>182563</xdr:colOff>
      <xdr:row>53</xdr:row>
      <xdr:rowOff>76199</xdr:rowOff>
    </xdr:from>
    <xdr:to>
      <xdr:col>10</xdr:col>
      <xdr:colOff>457730</xdr:colOff>
      <xdr:row>60</xdr:row>
      <xdr:rowOff>50680</xdr:rowOff>
    </xdr:to>
    <xdr:grpSp>
      <xdr:nvGrpSpPr>
        <xdr:cNvPr id="47" name="Agrupar 46">
          <a:extLst>
            <a:ext uri="{FF2B5EF4-FFF2-40B4-BE49-F238E27FC236}">
              <a16:creationId xmlns:a16="http://schemas.microsoft.com/office/drawing/2014/main" id="{937A3D6D-71ED-41C1-9CE2-1829494862DF}"/>
            </a:ext>
          </a:extLst>
        </xdr:cNvPr>
        <xdr:cNvGrpSpPr/>
      </xdr:nvGrpSpPr>
      <xdr:grpSpPr>
        <a:xfrm>
          <a:off x="2350030" y="9889066"/>
          <a:ext cx="5151967" cy="1278347"/>
          <a:chOff x="2362201" y="2531369"/>
          <a:chExt cx="3397250" cy="1251284"/>
        </a:xfrm>
      </xdr:grpSpPr>
      <xdr:sp macro="" textlink="">
        <xdr:nvSpPr>
          <xdr:cNvPr id="48" name="Retângulo: Cantos Arredondados 47">
            <a:extLst>
              <a:ext uri="{FF2B5EF4-FFF2-40B4-BE49-F238E27FC236}">
                <a16:creationId xmlns:a16="http://schemas.microsoft.com/office/drawing/2014/main" id="{CA18A740-57E7-2728-E518-2081E1B3FE14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7">
        <xdr:nvSpPr>
          <xdr:cNvPr id="49" name="Retângulo: Cantos Arredondados 48">
            <a:extLst>
              <a:ext uri="{FF2B5EF4-FFF2-40B4-BE49-F238E27FC236}">
                <a16:creationId xmlns:a16="http://schemas.microsoft.com/office/drawing/2014/main" id="{359DA24C-1456-E050-70C9-5400D6CA4AF5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B429D64-C4E7-49D1-B79D-D1885B3A057F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98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0" name="Retângulo: Cantos Superiores Arredondados 49">
            <a:extLst>
              <a:ext uri="{FF2B5EF4-FFF2-40B4-BE49-F238E27FC236}">
                <a16:creationId xmlns:a16="http://schemas.microsoft.com/office/drawing/2014/main" id="{60259F86-1A9C-6847-F240-0C748AB697BD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ASSINATURAS COM EA PLAY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>
    <xdr:from>
      <xdr:col>11</xdr:col>
      <xdr:colOff>268816</xdr:colOff>
      <xdr:row>53</xdr:row>
      <xdr:rowOff>76199</xdr:rowOff>
    </xdr:from>
    <xdr:to>
      <xdr:col>20</xdr:col>
      <xdr:colOff>88900</xdr:colOff>
      <xdr:row>60</xdr:row>
      <xdr:rowOff>50680</xdr:rowOff>
    </xdr:to>
    <xdr:grpSp>
      <xdr:nvGrpSpPr>
        <xdr:cNvPr id="51" name="Agrupar 50">
          <a:extLst>
            <a:ext uri="{FF2B5EF4-FFF2-40B4-BE49-F238E27FC236}">
              <a16:creationId xmlns:a16="http://schemas.microsoft.com/office/drawing/2014/main" id="{2E7D2C71-AD35-4190-9C81-CFE1A21A25A5}"/>
            </a:ext>
          </a:extLst>
        </xdr:cNvPr>
        <xdr:cNvGrpSpPr/>
      </xdr:nvGrpSpPr>
      <xdr:grpSpPr>
        <a:xfrm>
          <a:off x="7922683" y="9889066"/>
          <a:ext cx="5154084" cy="1278347"/>
          <a:chOff x="2362201" y="2531369"/>
          <a:chExt cx="3397250" cy="1251284"/>
        </a:xfrm>
      </xdr:grpSpPr>
      <xdr:sp macro="" textlink="">
        <xdr:nvSpPr>
          <xdr:cNvPr id="52" name="Retângulo: Cantos Arredondados 51">
            <a:extLst>
              <a:ext uri="{FF2B5EF4-FFF2-40B4-BE49-F238E27FC236}">
                <a16:creationId xmlns:a16="http://schemas.microsoft.com/office/drawing/2014/main" id="{BD2FBDA1-13BB-3583-AF9C-1617F0597891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38">
        <xdr:nvSpPr>
          <xdr:cNvPr id="53" name="Retângulo: Cantos Arredondados 52">
            <a:extLst>
              <a:ext uri="{FF2B5EF4-FFF2-40B4-BE49-F238E27FC236}">
                <a16:creationId xmlns:a16="http://schemas.microsoft.com/office/drawing/2014/main" id="{302737F0-4A3E-E3BC-FADE-D4F43F28D802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FB2971A-CDCE-42B1-A213-D2106378CC14}" type="TxLink">
              <a:rPr lang="en-US" sz="1800" b="1" i="0" u="none" strike="noStrike" kern="1200">
                <a:solidFill>
                  <a:srgbClr val="107C10"/>
                </a:solidFill>
                <a:latin typeface="+mj-lt"/>
              </a:rPr>
              <a:t>194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54" name="Retângulo: Cantos Superiores Arredondados 53">
            <a:extLst>
              <a:ext uri="{FF2B5EF4-FFF2-40B4-BE49-F238E27FC236}">
                <a16:creationId xmlns:a16="http://schemas.microsoft.com/office/drawing/2014/main" id="{0815E6CB-89FC-9F0F-DD98-44411178BE8D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ASSINATURAS COM MINECRAFT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 editAs="oneCell">
    <xdr:from>
      <xdr:col>7</xdr:col>
      <xdr:colOff>215466</xdr:colOff>
      <xdr:row>13</xdr:row>
      <xdr:rowOff>18142</xdr:rowOff>
    </xdr:from>
    <xdr:to>
      <xdr:col>7</xdr:col>
      <xdr:colOff>449041</xdr:colOff>
      <xdr:row>14</xdr:row>
      <xdr:rowOff>63939</xdr:rowOff>
    </xdr:to>
    <xdr:pic>
      <xdr:nvPicPr>
        <xdr:cNvPr id="58" name="Gráfico 57">
          <a:extLst>
            <a:ext uri="{FF2B5EF4-FFF2-40B4-BE49-F238E27FC236}">
              <a16:creationId xmlns:a16="http://schemas.microsoft.com/office/drawing/2014/main" id="{315163E1-2C53-7195-6A4F-CCA754E16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413395" y="2358571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13</xdr:row>
      <xdr:rowOff>27214</xdr:rowOff>
    </xdr:from>
    <xdr:to>
      <xdr:col>13</xdr:col>
      <xdr:colOff>563907</xdr:colOff>
      <xdr:row>14</xdr:row>
      <xdr:rowOff>76186</xdr:rowOff>
    </xdr:to>
    <xdr:pic>
      <xdr:nvPicPr>
        <xdr:cNvPr id="60" name="Gráfico 59">
          <a:extLst>
            <a:ext uri="{FF2B5EF4-FFF2-40B4-BE49-F238E27FC236}">
              <a16:creationId xmlns:a16="http://schemas.microsoft.com/office/drawing/2014/main" id="{C4633F24-55BC-15B2-4D82-CACD9B539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9027111" y="2367643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13</xdr:row>
      <xdr:rowOff>36285</xdr:rowOff>
    </xdr:from>
    <xdr:to>
      <xdr:col>19</xdr:col>
      <xdr:colOff>544064</xdr:colOff>
      <xdr:row>14</xdr:row>
      <xdr:rowOff>88432</xdr:rowOff>
    </xdr:to>
    <xdr:pic>
      <xdr:nvPicPr>
        <xdr:cNvPr id="62" name="Gráfico 61">
          <a:extLst>
            <a:ext uri="{FF2B5EF4-FFF2-40B4-BE49-F238E27FC236}">
              <a16:creationId xmlns:a16="http://schemas.microsoft.com/office/drawing/2014/main" id="{A5EFFFD7-D60B-AFF5-3A23-8AE6A9A2CE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12647632" y="2376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202766</xdr:colOff>
      <xdr:row>20</xdr:row>
      <xdr:rowOff>172357</xdr:rowOff>
    </xdr:from>
    <xdr:to>
      <xdr:col>7</xdr:col>
      <xdr:colOff>429991</xdr:colOff>
      <xdr:row>22</xdr:row>
      <xdr:rowOff>39900</xdr:rowOff>
    </xdr:to>
    <xdr:pic>
      <xdr:nvPicPr>
        <xdr:cNvPr id="64" name="Gráfico 63">
          <a:extLst>
            <a:ext uri="{FF2B5EF4-FFF2-40B4-BE49-F238E27FC236}">
              <a16:creationId xmlns:a16="http://schemas.microsoft.com/office/drawing/2014/main" id="{600044C8-C6B7-B4DC-FB41-22F9DB3464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5400695" y="3782786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20</xdr:row>
      <xdr:rowOff>163285</xdr:rowOff>
    </xdr:from>
    <xdr:to>
      <xdr:col>13</xdr:col>
      <xdr:colOff>563907</xdr:colOff>
      <xdr:row>22</xdr:row>
      <xdr:rowOff>27653</xdr:rowOff>
    </xdr:to>
    <xdr:pic>
      <xdr:nvPicPr>
        <xdr:cNvPr id="66" name="Gráfico 65">
          <a:extLst>
            <a:ext uri="{FF2B5EF4-FFF2-40B4-BE49-F238E27FC236}">
              <a16:creationId xmlns:a16="http://schemas.microsoft.com/office/drawing/2014/main" id="{387EF34C-4460-BB72-9F4A-E2DB94D06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9027111" y="3773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20</xdr:row>
      <xdr:rowOff>172357</xdr:rowOff>
    </xdr:from>
    <xdr:to>
      <xdr:col>19</xdr:col>
      <xdr:colOff>544064</xdr:colOff>
      <xdr:row>22</xdr:row>
      <xdr:rowOff>39900</xdr:rowOff>
    </xdr:to>
    <xdr:pic>
      <xdr:nvPicPr>
        <xdr:cNvPr id="68" name="Gráfico 67">
          <a:extLst>
            <a:ext uri="{FF2B5EF4-FFF2-40B4-BE49-F238E27FC236}">
              <a16:creationId xmlns:a16="http://schemas.microsoft.com/office/drawing/2014/main" id="{1A477ABC-2B47-34BC-3339-48DAE74DBB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12647632" y="3782786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10</xdr:col>
      <xdr:colOff>136620</xdr:colOff>
      <xdr:row>53</xdr:row>
      <xdr:rowOff>145142</xdr:rowOff>
    </xdr:from>
    <xdr:to>
      <xdr:col>10</xdr:col>
      <xdr:colOff>370195</xdr:colOff>
      <xdr:row>55</xdr:row>
      <xdr:rowOff>9509</xdr:rowOff>
    </xdr:to>
    <xdr:pic>
      <xdr:nvPicPr>
        <xdr:cNvPr id="70" name="Gráfico 69">
          <a:extLst>
            <a:ext uri="{FF2B5EF4-FFF2-40B4-BE49-F238E27FC236}">
              <a16:creationId xmlns:a16="http://schemas.microsoft.com/office/drawing/2014/main" id="{752FE529-8DFD-7E84-827B-EB66A4CA9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7157906" y="9742713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375576</xdr:colOff>
      <xdr:row>53</xdr:row>
      <xdr:rowOff>145144</xdr:rowOff>
    </xdr:from>
    <xdr:to>
      <xdr:col>19</xdr:col>
      <xdr:colOff>602801</xdr:colOff>
      <xdr:row>55</xdr:row>
      <xdr:rowOff>9511</xdr:rowOff>
    </xdr:to>
    <xdr:pic>
      <xdr:nvPicPr>
        <xdr:cNvPr id="72" name="Gráfico 71">
          <a:extLst>
            <a:ext uri="{FF2B5EF4-FFF2-40B4-BE49-F238E27FC236}">
              <a16:creationId xmlns:a16="http://schemas.microsoft.com/office/drawing/2014/main" id="{158C5429-CAEE-D882-AB58-335C943D9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2712719" y="9742715"/>
          <a:ext cx="230400" cy="230400"/>
        </a:xfrm>
        <a:prstGeom prst="rect">
          <a:avLst/>
        </a:prstGeom>
      </xdr:spPr>
    </xdr:pic>
    <xdr:clientData/>
  </xdr:twoCellAnchor>
  <xdr:twoCellAnchor>
    <xdr:from>
      <xdr:col>2</xdr:col>
      <xdr:colOff>371952</xdr:colOff>
      <xdr:row>32</xdr:row>
      <xdr:rowOff>137580</xdr:rowOff>
    </xdr:from>
    <xdr:to>
      <xdr:col>11</xdr:col>
      <xdr:colOff>75081</xdr:colOff>
      <xdr:row>50</xdr:row>
      <xdr:rowOff>25465</xdr:rowOff>
    </xdr:to>
    <xdr:graphicFrame macro="">
      <xdr:nvGraphicFramePr>
        <xdr:cNvPr id="73" name="Gráfico 72">
          <a:extLst>
            <a:ext uri="{FF2B5EF4-FFF2-40B4-BE49-F238E27FC236}">
              <a16:creationId xmlns:a16="http://schemas.microsoft.com/office/drawing/2014/main" id="{CD442499-F74D-4397-9453-76E5505D1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11</xdr:col>
      <xdr:colOff>208664</xdr:colOff>
      <xdr:row>32</xdr:row>
      <xdr:rowOff>137580</xdr:rowOff>
    </xdr:from>
    <xdr:to>
      <xdr:col>20</xdr:col>
      <xdr:colOff>66006</xdr:colOff>
      <xdr:row>50</xdr:row>
      <xdr:rowOff>25465</xdr:rowOff>
    </xdr:to>
    <xdr:graphicFrame macro="">
      <xdr:nvGraphicFramePr>
        <xdr:cNvPr id="74" name="Gráfico 73">
          <a:extLst>
            <a:ext uri="{FF2B5EF4-FFF2-40B4-BE49-F238E27FC236}">
              <a16:creationId xmlns:a16="http://schemas.microsoft.com/office/drawing/2014/main" id="{8AC2768D-DCCC-4E2E-BF7C-12A9211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1895212</xdr:colOff>
      <xdr:row>0</xdr:row>
      <xdr:rowOff>111126</xdr:rowOff>
    </xdr:from>
    <xdr:to>
      <xdr:col>2</xdr:col>
      <xdr:colOff>411367</xdr:colOff>
      <xdr:row>3</xdr:row>
      <xdr:rowOff>47783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4DE0054-F97E-4BCE-AA18-AE0DCC9F435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892037" y="111126"/>
          <a:ext cx="681505" cy="784382"/>
        </a:xfrm>
        <a:prstGeom prst="rect">
          <a:avLst/>
        </a:prstGeom>
      </xdr:spPr>
    </xdr:pic>
    <xdr:clientData/>
  </xdr:twoCellAnchor>
  <xdr:twoCellAnchor editAs="absolute">
    <xdr:from>
      <xdr:col>0</xdr:col>
      <xdr:colOff>180453</xdr:colOff>
      <xdr:row>5</xdr:row>
      <xdr:rowOff>116548</xdr:rowOff>
    </xdr:from>
    <xdr:to>
      <xdr:col>0</xdr:col>
      <xdr:colOff>1755707</xdr:colOff>
      <xdr:row>7</xdr:row>
      <xdr:rowOff>107294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21A7754D-FA9C-49FF-BD8C-36702F6A0CA5}"/>
            </a:ext>
          </a:extLst>
        </xdr:cNvPr>
        <xdr:cNvSpPr/>
      </xdr:nvSpPr>
      <xdr:spPr>
        <a:xfrm>
          <a:off x="177278" y="1157948"/>
          <a:ext cx="1578429" cy="2415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/>
            <a:t>BEM-VINDA, CAMILA!</a:t>
          </a:r>
          <a:endParaRPr lang="pt-BR" sz="1100" b="1" kern="1200"/>
        </a:p>
      </xdr:txBody>
    </xdr:sp>
    <xdr:clientData/>
  </xdr:twoCellAnchor>
  <xdr:twoCellAnchor>
    <xdr:from>
      <xdr:col>0</xdr:col>
      <xdr:colOff>156492</xdr:colOff>
      <xdr:row>11</xdr:row>
      <xdr:rowOff>63500</xdr:rowOff>
    </xdr:from>
    <xdr:to>
      <xdr:col>0</xdr:col>
      <xdr:colOff>1776492</xdr:colOff>
      <xdr:row>13</xdr:row>
      <xdr:rowOff>130375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81E7B2D-E957-4A66-8EF6-BD58240E9D1A}"/>
            </a:ext>
          </a:extLst>
        </xdr:cNvPr>
        <xdr:cNvSpPr/>
      </xdr:nvSpPr>
      <xdr:spPr>
        <a:xfrm>
          <a:off x="156492" y="2044700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VISÃO GERAL</a:t>
          </a:r>
        </a:p>
      </xdr:txBody>
    </xdr:sp>
    <xdr:clientData/>
  </xdr:twoCellAnchor>
  <xdr:twoCellAnchor>
    <xdr:from>
      <xdr:col>0</xdr:col>
      <xdr:colOff>156492</xdr:colOff>
      <xdr:row>14</xdr:row>
      <xdr:rowOff>58911</xdr:rowOff>
    </xdr:from>
    <xdr:to>
      <xdr:col>0</xdr:col>
      <xdr:colOff>1776492</xdr:colOff>
      <xdr:row>16</xdr:row>
      <xdr:rowOff>125786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7E07CAA-6076-440C-A420-F57DE043360E}"/>
            </a:ext>
          </a:extLst>
        </xdr:cNvPr>
        <xdr:cNvSpPr/>
      </xdr:nvSpPr>
      <xdr:spPr>
        <a:xfrm>
          <a:off x="156492" y="2592561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0</xdr:col>
      <xdr:colOff>156492</xdr:colOff>
      <xdr:row>17</xdr:row>
      <xdr:rowOff>54323</xdr:rowOff>
    </xdr:from>
    <xdr:to>
      <xdr:col>0</xdr:col>
      <xdr:colOff>1776492</xdr:colOff>
      <xdr:row>19</xdr:row>
      <xdr:rowOff>121198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8375AD3-2CC2-4D3A-AFF0-A9C3430E7766}"/>
            </a:ext>
          </a:extLst>
        </xdr:cNvPr>
        <xdr:cNvSpPr/>
      </xdr:nvSpPr>
      <xdr:spPr>
        <a:xfrm>
          <a:off x="156492" y="3140423"/>
          <a:ext cx="1620000" cy="435175"/>
        </a:xfrm>
        <a:prstGeom prst="roundRect">
          <a:avLst/>
        </a:prstGeom>
        <a:solidFill>
          <a:srgbClr val="D9EAD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rgbClr val="173B24"/>
              </a:solidFill>
              <a:latin typeface="+mj-lt"/>
              <a:ea typeface="+mn-ea"/>
              <a:cs typeface="+mn-cs"/>
            </a:rPr>
            <a:t>COMPLEMENTOS</a:t>
          </a:r>
        </a:p>
      </xdr:txBody>
    </xdr:sp>
    <xdr:clientData/>
  </xdr:twoCellAnchor>
  <xdr:twoCellAnchor>
    <xdr:from>
      <xdr:col>0</xdr:col>
      <xdr:colOff>156492</xdr:colOff>
      <xdr:row>20</xdr:row>
      <xdr:rowOff>49734</xdr:rowOff>
    </xdr:from>
    <xdr:to>
      <xdr:col>0</xdr:col>
      <xdr:colOff>1776492</xdr:colOff>
      <xdr:row>22</xdr:row>
      <xdr:rowOff>116609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168C572-F607-4DF1-83B6-1CF94F7D0D9B}"/>
            </a:ext>
          </a:extLst>
        </xdr:cNvPr>
        <xdr:cNvSpPr/>
      </xdr:nvSpPr>
      <xdr:spPr>
        <a:xfrm>
          <a:off x="156492" y="3688284"/>
          <a:ext cx="1620000" cy="435175"/>
        </a:xfrm>
        <a:prstGeom prst="roundRect">
          <a:avLst/>
        </a:prstGeom>
        <a:solidFill>
          <a:srgbClr val="107C1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000" b="1">
              <a:solidFill>
                <a:schemeClr val="lt1"/>
              </a:solidFill>
              <a:latin typeface="+mj-lt"/>
              <a:ea typeface="+mn-ea"/>
              <a:cs typeface="+mn-cs"/>
            </a:rPr>
            <a:t>METAS E OKRs</a:t>
          </a:r>
        </a:p>
      </xdr:txBody>
    </xdr:sp>
    <xdr:clientData/>
  </xdr:twoCellAnchor>
  <xdr:twoCellAnchor>
    <xdr:from>
      <xdr:col>2</xdr:col>
      <xdr:colOff>182563</xdr:colOff>
      <xdr:row>20</xdr:row>
      <xdr:rowOff>107040</xdr:rowOff>
    </xdr:from>
    <xdr:to>
      <xdr:col>7</xdr:col>
      <xdr:colOff>523876</xdr:colOff>
      <xdr:row>27</xdr:row>
      <xdr:rowOff>81521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C7024304-034E-47B7-8A06-3D6F6BD71CB7}"/>
            </a:ext>
          </a:extLst>
        </xdr:cNvPr>
        <xdr:cNvGrpSpPr/>
      </xdr:nvGrpSpPr>
      <xdr:grpSpPr>
        <a:xfrm>
          <a:off x="2350030" y="3773107"/>
          <a:ext cx="3389313" cy="1278347"/>
          <a:chOff x="2362201" y="2531369"/>
          <a:chExt cx="3397250" cy="1251284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0B5DC831-CD34-7BBF-9074-95A297D47434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7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06159FAC-040C-9C12-19C3-029C05B6C1DA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D3A7A55A-8C6F-49F3-BC1C-442ECB5807DA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t>60,00%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1" name="Retângulo: Cantos Superiores Arredondados 10">
            <a:extLst>
              <a:ext uri="{FF2B5EF4-FFF2-40B4-BE49-F238E27FC236}">
                <a16:creationId xmlns:a16="http://schemas.microsoft.com/office/drawing/2014/main" id="{ED515727-092F-1FA2-7A67-B9A68DEB7E9A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META DE RENOVAÇÃO</a:t>
            </a:r>
          </a:p>
        </xdr:txBody>
      </xdr:sp>
    </xdr:grpSp>
    <xdr:clientData/>
  </xdr:twoCellAnchor>
  <xdr:twoCellAnchor>
    <xdr:from>
      <xdr:col>14</xdr:col>
      <xdr:colOff>293688</xdr:colOff>
      <xdr:row>12</xdr:row>
      <xdr:rowOff>145682</xdr:rowOff>
    </xdr:from>
    <xdr:to>
      <xdr:col>20</xdr:col>
      <xdr:colOff>23813</xdr:colOff>
      <xdr:row>19</xdr:row>
      <xdr:rowOff>129145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C32D141F-DFF6-46B2-8E61-4960C44D1589}"/>
            </a:ext>
          </a:extLst>
        </xdr:cNvPr>
        <xdr:cNvGrpSpPr/>
      </xdr:nvGrpSpPr>
      <xdr:grpSpPr>
        <a:xfrm>
          <a:off x="9623955" y="2321615"/>
          <a:ext cx="3387725" cy="1287330"/>
          <a:chOff x="9644063" y="1110192"/>
          <a:chExt cx="3397250" cy="1251648"/>
        </a:xfrm>
      </xdr:grpSpPr>
      <xdr:sp macro="" textlink="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21C1286E-D949-5B57-7D94-7376FAAF249C}"/>
              </a:ext>
            </a:extLst>
          </xdr:cNvPr>
          <xdr:cNvSpPr/>
        </xdr:nvSpPr>
        <xdr:spPr>
          <a:xfrm>
            <a:off x="9644063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6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BCFF7B03-8E9F-33F1-4D5B-CB117CB4A008}"/>
              </a:ext>
            </a:extLst>
          </xdr:cNvPr>
          <xdr:cNvSpPr/>
        </xdr:nvSpPr>
        <xdr:spPr>
          <a:xfrm>
            <a:off x="10238365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4B578EA-C103-413C-9B75-414CFB1A4181}" type="TxLink">
              <a:rPr lang="en-US" sz="1100" b="0" i="0" u="none" strike="noStrike" kern="1200">
                <a:solidFill>
                  <a:srgbClr val="000000"/>
                </a:solidFill>
                <a:latin typeface="Aptos Narrow"/>
              </a:rPr>
              <a:t>89,80%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5" name="Retângulo: Cantos Superiores Arredondados 14">
            <a:extLst>
              <a:ext uri="{FF2B5EF4-FFF2-40B4-BE49-F238E27FC236}">
                <a16:creationId xmlns:a16="http://schemas.microsoft.com/office/drawing/2014/main" id="{45F2895F-F45E-4E54-7624-93DEA2C0DDB0}"/>
              </a:ext>
            </a:extLst>
          </xdr:cNvPr>
          <xdr:cNvSpPr/>
        </xdr:nvSpPr>
        <xdr:spPr>
          <a:xfrm>
            <a:off x="9644063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0">
                <a:latin typeface="+mj-lt"/>
                <a:cs typeface="+mn-cs"/>
              </a:rPr>
              <a:t>ATINGIMENTO</a:t>
            </a:r>
            <a:r>
              <a:rPr lang="pt-BR" sz="1100" b="1" kern="0" baseline="0">
                <a:latin typeface="+mj-lt"/>
                <a:cs typeface="+mn-cs"/>
              </a:rPr>
              <a:t> DA META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12</xdr:row>
      <xdr:rowOff>145682</xdr:rowOff>
    </xdr:from>
    <xdr:to>
      <xdr:col>14</xdr:col>
      <xdr:colOff>50007</xdr:colOff>
      <xdr:row>19</xdr:row>
      <xdr:rowOff>129145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351289AE-EA03-4256-9B33-F60FEC4E2A4D}"/>
            </a:ext>
          </a:extLst>
        </xdr:cNvPr>
        <xdr:cNvGrpSpPr/>
      </xdr:nvGrpSpPr>
      <xdr:grpSpPr>
        <a:xfrm>
          <a:off x="5994136" y="2321615"/>
          <a:ext cx="3386138" cy="1287330"/>
          <a:chOff x="6003132" y="1110192"/>
          <a:chExt cx="3397250" cy="1251648"/>
        </a:xfrm>
      </xdr:grpSpPr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F38F067C-DD85-735B-3F58-33D4A8B3B876}"/>
              </a:ext>
            </a:extLst>
          </xdr:cNvPr>
          <xdr:cNvSpPr/>
        </xdr:nvSpPr>
        <xdr:spPr>
          <a:xfrm>
            <a:off x="6003132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5">
        <xdr:nvSpPr>
          <xdr:cNvPr id="18" name="Retângulo: Cantos Arredondados 17">
            <a:extLst>
              <a:ext uri="{FF2B5EF4-FFF2-40B4-BE49-F238E27FC236}">
                <a16:creationId xmlns:a16="http://schemas.microsoft.com/office/drawing/2014/main" id="{41BB1813-3221-4F0D-05EA-A45D5E139219}"/>
              </a:ext>
            </a:extLst>
          </xdr:cNvPr>
          <xdr:cNvSpPr/>
        </xdr:nvSpPr>
        <xdr:spPr>
          <a:xfrm>
            <a:off x="6597434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E5CFB2AA-A47C-4FA2-8DAA-88151555AEF5}" type="TxLink">
              <a:rPr lang="en-US" sz="1100" b="0" i="0" u="none" strike="noStrike" kern="1200">
                <a:solidFill>
                  <a:srgbClr val="000000"/>
                </a:solidFill>
                <a:latin typeface="Aptos Narrow"/>
              </a:rPr>
              <a:t>R$ 7.633,00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19" name="Retângulo: Cantos Superiores Arredondados 18">
            <a:extLst>
              <a:ext uri="{FF2B5EF4-FFF2-40B4-BE49-F238E27FC236}">
                <a16:creationId xmlns:a16="http://schemas.microsoft.com/office/drawing/2014/main" id="{8F8EB87A-A1B5-B310-5E1A-391BAE1EB38B}"/>
              </a:ext>
            </a:extLst>
          </xdr:cNvPr>
          <xdr:cNvSpPr/>
        </xdr:nvSpPr>
        <xdr:spPr>
          <a:xfrm>
            <a:off x="6003132" y="111019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FATURAMENTO REALIZADO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195263</xdr:colOff>
      <xdr:row>12</xdr:row>
      <xdr:rowOff>148592</xdr:rowOff>
    </xdr:from>
    <xdr:to>
      <xdr:col>7</xdr:col>
      <xdr:colOff>536576</xdr:colOff>
      <xdr:row>19</xdr:row>
      <xdr:rowOff>129145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ADFB53F7-EFB8-4AE8-A077-253D0644F98A}"/>
            </a:ext>
          </a:extLst>
        </xdr:cNvPr>
        <xdr:cNvGrpSpPr/>
      </xdr:nvGrpSpPr>
      <xdr:grpSpPr>
        <a:xfrm>
          <a:off x="2362730" y="2324525"/>
          <a:ext cx="3389313" cy="1284420"/>
          <a:chOff x="2362201" y="1106752"/>
          <a:chExt cx="3397250" cy="1255088"/>
        </a:xfrm>
      </xdr:grpSpPr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331A3B92-C9D4-465E-1AEF-353C52DC094B}"/>
              </a:ext>
            </a:extLst>
          </xdr:cNvPr>
          <xdr:cNvSpPr/>
        </xdr:nvSpPr>
        <xdr:spPr>
          <a:xfrm>
            <a:off x="2362201" y="1157603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4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2C38A809-83F3-84F5-157C-327563B05B68}"/>
              </a:ext>
            </a:extLst>
          </xdr:cNvPr>
          <xdr:cNvSpPr/>
        </xdr:nvSpPr>
        <xdr:spPr>
          <a:xfrm>
            <a:off x="2956503" y="1547347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861AC26-A956-4A5E-B3C7-8C476877D8EF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t>R$ 8.500,00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3" name="Retângulo: Cantos Superiores Arredondados 22">
            <a:extLst>
              <a:ext uri="{FF2B5EF4-FFF2-40B4-BE49-F238E27FC236}">
                <a16:creationId xmlns:a16="http://schemas.microsoft.com/office/drawing/2014/main" id="{5C249730-519E-57A4-1DED-0474E6F9CED4}"/>
              </a:ext>
            </a:extLst>
          </xdr:cNvPr>
          <xdr:cNvSpPr/>
        </xdr:nvSpPr>
        <xdr:spPr>
          <a:xfrm>
            <a:off x="2362201" y="1106752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META DE FATURAMENTO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14</xdr:col>
      <xdr:colOff>293688</xdr:colOff>
      <xdr:row>20</xdr:row>
      <xdr:rowOff>106676</xdr:rowOff>
    </xdr:from>
    <xdr:to>
      <xdr:col>20</xdr:col>
      <xdr:colOff>23813</xdr:colOff>
      <xdr:row>27</xdr:row>
      <xdr:rowOff>81521</xdr:rowOff>
    </xdr:to>
    <xdr:grpSp>
      <xdr:nvGrpSpPr>
        <xdr:cNvPr id="24" name="Agrupar 23">
          <a:extLst>
            <a:ext uri="{FF2B5EF4-FFF2-40B4-BE49-F238E27FC236}">
              <a16:creationId xmlns:a16="http://schemas.microsoft.com/office/drawing/2014/main" id="{98985C00-8685-42DE-92D9-E226CAB755A7}"/>
            </a:ext>
          </a:extLst>
        </xdr:cNvPr>
        <xdr:cNvGrpSpPr/>
      </xdr:nvGrpSpPr>
      <xdr:grpSpPr>
        <a:xfrm>
          <a:off x="9623955" y="3772743"/>
          <a:ext cx="3387725" cy="1278711"/>
          <a:chOff x="9644063" y="2531005"/>
          <a:chExt cx="3397250" cy="1251648"/>
        </a:xfrm>
      </xdr:grpSpPr>
      <xdr:sp macro="" textlink="">
        <xdr:nvSpPr>
          <xdr:cNvPr id="25" name="Retângulo: Cantos Arredondados 24">
            <a:extLst>
              <a:ext uri="{FF2B5EF4-FFF2-40B4-BE49-F238E27FC236}">
                <a16:creationId xmlns:a16="http://schemas.microsoft.com/office/drawing/2014/main" id="{50418222-5146-346A-FBC5-83C762B3100A}"/>
              </a:ext>
            </a:extLst>
          </xdr:cNvPr>
          <xdr:cNvSpPr/>
        </xdr:nvSpPr>
        <xdr:spPr>
          <a:xfrm>
            <a:off x="9644063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9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E9E23EB0-D6E8-323B-9C31-C4FC1E06086E}"/>
              </a:ext>
            </a:extLst>
          </xdr:cNvPr>
          <xdr:cNvSpPr/>
        </xdr:nvSpPr>
        <xdr:spPr>
          <a:xfrm>
            <a:off x="10238365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5398CD3-2B5C-4D24-9246-40A715C13D4E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t>83,62%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27" name="Retângulo: Cantos Superiores Arredondados 26">
            <a:extLst>
              <a:ext uri="{FF2B5EF4-FFF2-40B4-BE49-F238E27FC236}">
                <a16:creationId xmlns:a16="http://schemas.microsoft.com/office/drawing/2014/main" id="{0545C978-7E14-977C-E220-83377656F004}"/>
              </a:ext>
            </a:extLst>
          </xdr:cNvPr>
          <xdr:cNvSpPr/>
        </xdr:nvSpPr>
        <xdr:spPr>
          <a:xfrm>
            <a:off x="9644063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/>
              <a:t>ATINGIMENTO RENOVAÇÃO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8</xdr:col>
      <xdr:colOff>169069</xdr:colOff>
      <xdr:row>20</xdr:row>
      <xdr:rowOff>106676</xdr:rowOff>
    </xdr:from>
    <xdr:to>
      <xdr:col>14</xdr:col>
      <xdr:colOff>50007</xdr:colOff>
      <xdr:row>27</xdr:row>
      <xdr:rowOff>81521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D013FDF6-8033-42AA-8C5D-3059B9BD8117}"/>
            </a:ext>
          </a:extLst>
        </xdr:cNvPr>
        <xdr:cNvGrpSpPr/>
      </xdr:nvGrpSpPr>
      <xdr:grpSpPr>
        <a:xfrm>
          <a:off x="5994136" y="3772743"/>
          <a:ext cx="3386138" cy="1278711"/>
          <a:chOff x="6003132" y="2531005"/>
          <a:chExt cx="3397250" cy="1251648"/>
        </a:xfrm>
      </xdr:grpSpPr>
      <xdr:sp macro="" textlink="">
        <xdr:nvSpPr>
          <xdr:cNvPr id="29" name="Retângulo: Cantos Arredondados 28">
            <a:extLst>
              <a:ext uri="{FF2B5EF4-FFF2-40B4-BE49-F238E27FC236}">
                <a16:creationId xmlns:a16="http://schemas.microsoft.com/office/drawing/2014/main" id="{D9A508C8-75DB-8CDA-8E03-6F61E3048056}"/>
              </a:ext>
            </a:extLst>
          </xdr:cNvPr>
          <xdr:cNvSpPr/>
        </xdr:nvSpPr>
        <xdr:spPr>
          <a:xfrm>
            <a:off x="6003132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48">
        <xdr:nvSpPr>
          <xdr:cNvPr id="30" name="Retângulo: Cantos Arredondados 29">
            <a:extLst>
              <a:ext uri="{FF2B5EF4-FFF2-40B4-BE49-F238E27FC236}">
                <a16:creationId xmlns:a16="http://schemas.microsoft.com/office/drawing/2014/main" id="{E1A94EBA-73C8-A251-DCD8-A608F9E44E8C}"/>
              </a:ext>
            </a:extLst>
          </xdr:cNvPr>
          <xdr:cNvSpPr/>
        </xdr:nvSpPr>
        <xdr:spPr>
          <a:xfrm>
            <a:off x="6597434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04EB69C-ABAE-4763-8CD4-5CB5B4FFC43C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t>50,17%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31" name="Retângulo: Cantos Superiores Arredondados 30">
            <a:extLst>
              <a:ext uri="{FF2B5EF4-FFF2-40B4-BE49-F238E27FC236}">
                <a16:creationId xmlns:a16="http://schemas.microsoft.com/office/drawing/2014/main" id="{861E5C1A-A065-D13C-7204-95057515F958}"/>
              </a:ext>
            </a:extLst>
          </xdr:cNvPr>
          <xdr:cNvSpPr/>
        </xdr:nvSpPr>
        <xdr:spPr>
          <a:xfrm>
            <a:off x="6003132" y="2531005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RENOVAÇÃO ATUAL</a:t>
            </a:r>
            <a:endParaRPr lang="pt-BR" sz="1100" b="1" kern="1200">
              <a:latin typeface="+mj-lt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2</xdr:col>
      <xdr:colOff>198438</xdr:colOff>
      <xdr:row>5</xdr:row>
      <xdr:rowOff>69400</xdr:rowOff>
    </xdr:from>
    <xdr:to>
      <xdr:col>20</xdr:col>
      <xdr:colOff>16101</xdr:colOff>
      <xdr:row>11</xdr:row>
      <xdr:rowOff>17008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2" name="Xbox Sales Intelligence — Filtros 3">
              <a:extLst>
                <a:ext uri="{FF2B5EF4-FFF2-40B4-BE49-F238E27FC236}">
                  <a16:creationId xmlns:a16="http://schemas.microsoft.com/office/drawing/2014/main" id="{BA35AFBB-10CB-4BD3-BAAD-DC2958CF4F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Xbox Sales Intelligence — Filtros 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65905" y="1110800"/>
              <a:ext cx="10638063" cy="89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179388</xdr:colOff>
      <xdr:row>28</xdr:row>
      <xdr:rowOff>85726</xdr:rowOff>
    </xdr:from>
    <xdr:to>
      <xdr:col>20</xdr:col>
      <xdr:colOff>85725</xdr:colOff>
      <xdr:row>51</xdr:row>
      <xdr:rowOff>123826</xdr:rowOff>
    </xdr:to>
    <xdr:sp macro="" textlink="">
      <xdr:nvSpPr>
        <xdr:cNvPr id="33" name="Retângulo: Cantos Arredondados 32">
          <a:extLst>
            <a:ext uri="{FF2B5EF4-FFF2-40B4-BE49-F238E27FC236}">
              <a16:creationId xmlns:a16="http://schemas.microsoft.com/office/drawing/2014/main" id="{AEDFCD49-B681-4F82-B90D-EC289C024448}"/>
            </a:ext>
          </a:extLst>
        </xdr:cNvPr>
        <xdr:cNvSpPr/>
      </xdr:nvSpPr>
      <xdr:spPr>
        <a:xfrm>
          <a:off x="2347913" y="5200651"/>
          <a:ext cx="10726737" cy="4273550"/>
        </a:xfrm>
        <a:prstGeom prst="roundRect">
          <a:avLst>
            <a:gd name="adj" fmla="val 10158"/>
          </a:avLst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lvl="1" algn="l"/>
          <a:endParaRPr lang="pt-BR" sz="1800" b="1">
            <a:solidFill>
              <a:srgbClr val="107C10"/>
            </a:solidFill>
            <a:latin typeface="+mj-lt"/>
          </a:endParaRPr>
        </a:p>
      </xdr:txBody>
    </xdr:sp>
    <xdr:clientData/>
  </xdr:twoCellAnchor>
  <xdr:twoCellAnchor>
    <xdr:from>
      <xdr:col>2</xdr:col>
      <xdr:colOff>182563</xdr:colOff>
      <xdr:row>28</xdr:row>
      <xdr:rowOff>91393</xdr:rowOff>
    </xdr:from>
    <xdr:to>
      <xdr:col>20</xdr:col>
      <xdr:colOff>76280</xdr:colOff>
      <xdr:row>31</xdr:row>
      <xdr:rowOff>134453</xdr:rowOff>
    </xdr:to>
    <xdr:sp macro="" textlink="">
      <xdr:nvSpPr>
        <xdr:cNvPr id="34" name="Retângulo: Cantos Superiores Arredondados 33">
          <a:extLst>
            <a:ext uri="{FF2B5EF4-FFF2-40B4-BE49-F238E27FC236}">
              <a16:creationId xmlns:a16="http://schemas.microsoft.com/office/drawing/2014/main" id="{411EF08E-3818-494D-A721-4E3ED28AB742}"/>
            </a:ext>
          </a:extLst>
        </xdr:cNvPr>
        <xdr:cNvSpPr/>
      </xdr:nvSpPr>
      <xdr:spPr>
        <a:xfrm>
          <a:off x="2341563" y="5153250"/>
          <a:ext cx="10679646" cy="587346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1" algn="l"/>
          <a:r>
            <a:rPr lang="pt-BR" sz="1800" b="1"/>
            <a:t>   ANÁLISE DE COMPLEMENTOS</a:t>
          </a:r>
        </a:p>
      </xdr:txBody>
    </xdr:sp>
    <xdr:clientData/>
  </xdr:twoCellAnchor>
  <xdr:twoCellAnchor>
    <xdr:from>
      <xdr:col>11</xdr:col>
      <xdr:colOff>158747</xdr:colOff>
      <xdr:row>33</xdr:row>
      <xdr:rowOff>95250</xdr:rowOff>
    </xdr:from>
    <xdr:to>
      <xdr:col>11</xdr:col>
      <xdr:colOff>162187</xdr:colOff>
      <xdr:row>51</xdr:row>
      <xdr:rowOff>127001</xdr:rowOff>
    </xdr:to>
    <xdr:cxnSp macro="">
      <xdr:nvCxnSpPr>
        <xdr:cNvPr id="36" name="Conector reto 35">
          <a:extLst>
            <a:ext uri="{FF2B5EF4-FFF2-40B4-BE49-F238E27FC236}">
              <a16:creationId xmlns:a16="http://schemas.microsoft.com/office/drawing/2014/main" id="{C3044659-C93C-4E5B-865C-D78897BDCCEC}"/>
            </a:ext>
          </a:extLst>
        </xdr:cNvPr>
        <xdr:cNvCxnSpPr/>
      </xdr:nvCxnSpPr>
      <xdr:spPr>
        <a:xfrm flipH="1" flipV="1">
          <a:off x="7810497" y="6127750"/>
          <a:ext cx="3440" cy="3346451"/>
        </a:xfrm>
        <a:prstGeom prst="line">
          <a:avLst/>
        </a:prstGeom>
        <a:ln>
          <a:solidFill>
            <a:srgbClr val="E8E6E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168774</xdr:colOff>
      <xdr:row>8</xdr:row>
      <xdr:rowOff>111125</xdr:rowOff>
    </xdr:from>
    <xdr:to>
      <xdr:col>0</xdr:col>
      <xdr:colOff>1764211</xdr:colOff>
      <xdr:row>8</xdr:row>
      <xdr:rowOff>111125</xdr:rowOff>
    </xdr:to>
    <xdr:cxnSp macro="">
      <xdr:nvCxnSpPr>
        <xdr:cNvPr id="37" name="Conector reto 36">
          <a:extLst>
            <a:ext uri="{FF2B5EF4-FFF2-40B4-BE49-F238E27FC236}">
              <a16:creationId xmlns:a16="http://schemas.microsoft.com/office/drawing/2014/main" id="{C6658363-8EFA-4C82-AC01-23A9A9018526}"/>
            </a:ext>
          </a:extLst>
        </xdr:cNvPr>
        <xdr:cNvCxnSpPr/>
      </xdr:nvCxnSpPr>
      <xdr:spPr>
        <a:xfrm>
          <a:off x="168774" y="1546225"/>
          <a:ext cx="1595437" cy="0"/>
        </a:xfrm>
        <a:prstGeom prst="line">
          <a:avLst/>
        </a:prstGeom>
        <a:ln>
          <a:solidFill>
            <a:srgbClr val="D9D9D9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552492</xdr:colOff>
      <xdr:row>1</xdr:row>
      <xdr:rowOff>142874</xdr:rowOff>
    </xdr:from>
    <xdr:to>
      <xdr:col>0</xdr:col>
      <xdr:colOff>1383667</xdr:colOff>
      <xdr:row>5</xdr:row>
      <xdr:rowOff>113624</xdr:rowOff>
    </xdr:to>
    <xdr:pic>
      <xdr:nvPicPr>
        <xdr:cNvPr id="38" name="Imagem 37">
          <a:extLst>
            <a:ext uri="{FF2B5EF4-FFF2-40B4-BE49-F238E27FC236}">
              <a16:creationId xmlns:a16="http://schemas.microsoft.com/office/drawing/2014/main" id="{CD2F8A96-4623-4AD5-909A-F47E2AB6D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92" y="327024"/>
          <a:ext cx="828000" cy="828000"/>
        </a:xfrm>
        <a:prstGeom prst="rect">
          <a:avLst/>
        </a:prstGeom>
      </xdr:spPr>
    </xdr:pic>
    <xdr:clientData/>
  </xdr:twoCellAnchor>
  <xdr:twoCellAnchor>
    <xdr:from>
      <xdr:col>2</xdr:col>
      <xdr:colOff>182563</xdr:colOff>
      <xdr:row>53</xdr:row>
      <xdr:rowOff>76199</xdr:rowOff>
    </xdr:from>
    <xdr:to>
      <xdr:col>10</xdr:col>
      <xdr:colOff>457730</xdr:colOff>
      <xdr:row>60</xdr:row>
      <xdr:rowOff>50680</xdr:rowOff>
    </xdr:to>
    <xdr:grpSp>
      <xdr:nvGrpSpPr>
        <xdr:cNvPr id="39" name="Agrupar 38">
          <a:extLst>
            <a:ext uri="{FF2B5EF4-FFF2-40B4-BE49-F238E27FC236}">
              <a16:creationId xmlns:a16="http://schemas.microsoft.com/office/drawing/2014/main" id="{43DD2EB4-3FFA-4B0B-ABF5-050FBA1F8AE1}"/>
            </a:ext>
          </a:extLst>
        </xdr:cNvPr>
        <xdr:cNvGrpSpPr/>
      </xdr:nvGrpSpPr>
      <xdr:grpSpPr>
        <a:xfrm>
          <a:off x="2350030" y="9889066"/>
          <a:ext cx="5151967" cy="1278347"/>
          <a:chOff x="2362201" y="2531369"/>
          <a:chExt cx="3397250" cy="1251284"/>
        </a:xfrm>
      </xdr:grpSpPr>
      <xdr:sp macro="" textlink="">
        <xdr:nvSpPr>
          <xdr:cNvPr id="40" name="Retângulo: Cantos Arredondados 39">
            <a:extLst>
              <a:ext uri="{FF2B5EF4-FFF2-40B4-BE49-F238E27FC236}">
                <a16:creationId xmlns:a16="http://schemas.microsoft.com/office/drawing/2014/main" id="{44FEA7A2-8EBC-B15F-842E-67835C5B9849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50">
        <xdr:nvSpPr>
          <xdr:cNvPr id="41" name="Retângulo: Cantos Arredondados 40">
            <a:extLst>
              <a:ext uri="{FF2B5EF4-FFF2-40B4-BE49-F238E27FC236}">
                <a16:creationId xmlns:a16="http://schemas.microsoft.com/office/drawing/2014/main" id="{B91CF27E-6CD4-6B25-EB0C-BD86FE9598BB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DEC6AD5-765F-4D9F-990A-239E62F86977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t>R$ 867,00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2" name="Retângulo: Cantos Superiores Arredondados 41">
            <a:extLst>
              <a:ext uri="{FF2B5EF4-FFF2-40B4-BE49-F238E27FC236}">
                <a16:creationId xmlns:a16="http://schemas.microsoft.com/office/drawing/2014/main" id="{84F83639-2812-63D2-FA55-57E5A8769822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FALTA PARA META DE FATURAMENTO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>
    <xdr:from>
      <xdr:col>11</xdr:col>
      <xdr:colOff>268816</xdr:colOff>
      <xdr:row>53</xdr:row>
      <xdr:rowOff>76199</xdr:rowOff>
    </xdr:from>
    <xdr:to>
      <xdr:col>20</xdr:col>
      <xdr:colOff>88900</xdr:colOff>
      <xdr:row>60</xdr:row>
      <xdr:rowOff>50680</xdr:rowOff>
    </xdr:to>
    <xdr:grpSp>
      <xdr:nvGrpSpPr>
        <xdr:cNvPr id="43" name="Agrupar 42">
          <a:extLst>
            <a:ext uri="{FF2B5EF4-FFF2-40B4-BE49-F238E27FC236}">
              <a16:creationId xmlns:a16="http://schemas.microsoft.com/office/drawing/2014/main" id="{5440C8F7-04E0-4CCA-A18F-8641C6EC0B84}"/>
            </a:ext>
          </a:extLst>
        </xdr:cNvPr>
        <xdr:cNvGrpSpPr/>
      </xdr:nvGrpSpPr>
      <xdr:grpSpPr>
        <a:xfrm>
          <a:off x="7922683" y="9889066"/>
          <a:ext cx="5154084" cy="1278347"/>
          <a:chOff x="2362201" y="2531369"/>
          <a:chExt cx="3397250" cy="1251284"/>
        </a:xfrm>
      </xdr:grpSpPr>
      <xdr:sp macro="" textlink="">
        <xdr:nvSpPr>
          <xdr:cNvPr id="44" name="Retângulo: Cantos Arredondados 43">
            <a:extLst>
              <a:ext uri="{FF2B5EF4-FFF2-40B4-BE49-F238E27FC236}">
                <a16:creationId xmlns:a16="http://schemas.microsoft.com/office/drawing/2014/main" id="{3F420C04-2401-2FCD-BD36-F7D75E714A64}"/>
              </a:ext>
            </a:extLst>
          </xdr:cNvPr>
          <xdr:cNvSpPr/>
        </xdr:nvSpPr>
        <xdr:spPr>
          <a:xfrm>
            <a:off x="2362201" y="2578416"/>
            <a:ext cx="3397250" cy="1204237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ÁLCULOS!$K$51">
        <xdr:nvSpPr>
          <xdr:cNvPr id="45" name="Retângulo: Cantos Arredondados 44">
            <a:extLst>
              <a:ext uri="{FF2B5EF4-FFF2-40B4-BE49-F238E27FC236}">
                <a16:creationId xmlns:a16="http://schemas.microsoft.com/office/drawing/2014/main" id="{20C368FE-C34A-C610-AE8E-4A1AEF4F45ED}"/>
              </a:ext>
            </a:extLst>
          </xdr:cNvPr>
          <xdr:cNvSpPr/>
        </xdr:nvSpPr>
        <xdr:spPr>
          <a:xfrm>
            <a:off x="2956503" y="2968160"/>
            <a:ext cx="2208647" cy="75098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7F89CB5-BBAF-44E0-8AC4-513C6A85EBCF}" type="TxLink">
              <a:rPr lang="en-US" sz="1800" b="1" i="0" u="none" strike="noStrike" kern="1200">
                <a:solidFill>
                  <a:srgbClr val="107C10"/>
                </a:solidFill>
                <a:latin typeface="Aptos Narrow"/>
              </a:rPr>
              <a:t>9,83 p.p.</a:t>
            </a:fld>
            <a:endParaRPr lang="pt-BR" sz="1800" b="1" kern="1200">
              <a:solidFill>
                <a:srgbClr val="107C10"/>
              </a:solidFill>
              <a:latin typeface="+mj-lt"/>
            </a:endParaRPr>
          </a:p>
        </xdr:txBody>
      </xdr:sp>
      <xdr:sp macro="" textlink="">
        <xdr:nvSpPr>
          <xdr:cNvPr id="46" name="Retângulo: Cantos Superiores Arredondados 45">
            <a:extLst>
              <a:ext uri="{FF2B5EF4-FFF2-40B4-BE49-F238E27FC236}">
                <a16:creationId xmlns:a16="http://schemas.microsoft.com/office/drawing/2014/main" id="{167F3348-AEE2-D91D-AC78-F477C0605D62}"/>
              </a:ext>
            </a:extLst>
          </xdr:cNvPr>
          <xdr:cNvSpPr/>
        </xdr:nvSpPr>
        <xdr:spPr>
          <a:xfrm>
            <a:off x="2362201" y="2531369"/>
            <a:ext cx="3397250" cy="360322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b="1">
                <a:latin typeface="+mj-lt"/>
              </a:rPr>
              <a:t>FALTA PARA META DE RENOVAÇÃO</a:t>
            </a:r>
            <a:endParaRPr lang="pt-BR" b="1">
              <a:solidFill>
                <a:schemeClr val="bg1"/>
              </a:solidFill>
              <a:latin typeface="+mj-lt"/>
            </a:endParaRPr>
          </a:p>
        </xdr:txBody>
      </xdr:sp>
    </xdr:grpSp>
    <xdr:clientData/>
  </xdr:twoCellAnchor>
  <xdr:twoCellAnchor editAs="oneCell">
    <xdr:from>
      <xdr:col>7</xdr:col>
      <xdr:colOff>215466</xdr:colOff>
      <xdr:row>13</xdr:row>
      <xdr:rowOff>27214</xdr:rowOff>
    </xdr:from>
    <xdr:to>
      <xdr:col>7</xdr:col>
      <xdr:colOff>449041</xdr:colOff>
      <xdr:row>14</xdr:row>
      <xdr:rowOff>76186</xdr:rowOff>
    </xdr:to>
    <xdr:pic>
      <xdr:nvPicPr>
        <xdr:cNvPr id="58" name="Gráfico 57">
          <a:extLst>
            <a:ext uri="{FF2B5EF4-FFF2-40B4-BE49-F238E27FC236}">
              <a16:creationId xmlns:a16="http://schemas.microsoft.com/office/drawing/2014/main" id="{AABCBAC2-0AEE-EC8E-0343-0108DC314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5413395" y="2367643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13</xdr:row>
      <xdr:rowOff>36286</xdr:rowOff>
    </xdr:from>
    <xdr:to>
      <xdr:col>13</xdr:col>
      <xdr:colOff>563907</xdr:colOff>
      <xdr:row>14</xdr:row>
      <xdr:rowOff>88433</xdr:rowOff>
    </xdr:to>
    <xdr:pic>
      <xdr:nvPicPr>
        <xdr:cNvPr id="60" name="Gráfico 59">
          <a:extLst>
            <a:ext uri="{FF2B5EF4-FFF2-40B4-BE49-F238E27FC236}">
              <a16:creationId xmlns:a16="http://schemas.microsoft.com/office/drawing/2014/main" id="{B168E1A8-E6E7-FDB1-BBA7-BAB619EC8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9027111" y="237671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13</xdr:row>
      <xdr:rowOff>36285</xdr:rowOff>
    </xdr:from>
    <xdr:to>
      <xdr:col>19</xdr:col>
      <xdr:colOff>544064</xdr:colOff>
      <xdr:row>14</xdr:row>
      <xdr:rowOff>88432</xdr:rowOff>
    </xdr:to>
    <xdr:pic>
      <xdr:nvPicPr>
        <xdr:cNvPr id="62" name="Gráfico 61">
          <a:extLst>
            <a:ext uri="{FF2B5EF4-FFF2-40B4-BE49-F238E27FC236}">
              <a16:creationId xmlns:a16="http://schemas.microsoft.com/office/drawing/2014/main" id="{01DEF745-FC3C-E04C-4F64-C6183B0B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12647632" y="2376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202766</xdr:colOff>
      <xdr:row>21</xdr:row>
      <xdr:rowOff>1</xdr:rowOff>
    </xdr:from>
    <xdr:to>
      <xdr:col>7</xdr:col>
      <xdr:colOff>429991</xdr:colOff>
      <xdr:row>22</xdr:row>
      <xdr:rowOff>45797</xdr:rowOff>
    </xdr:to>
    <xdr:pic>
      <xdr:nvPicPr>
        <xdr:cNvPr id="64" name="Gráfico 63">
          <a:extLst>
            <a:ext uri="{FF2B5EF4-FFF2-40B4-BE49-F238E27FC236}">
              <a16:creationId xmlns:a16="http://schemas.microsoft.com/office/drawing/2014/main" id="{77B43A37-A782-A4F3-0870-8E7894177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5400695" y="3791858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336682</xdr:colOff>
      <xdr:row>20</xdr:row>
      <xdr:rowOff>163285</xdr:rowOff>
    </xdr:from>
    <xdr:to>
      <xdr:col>13</xdr:col>
      <xdr:colOff>563907</xdr:colOff>
      <xdr:row>22</xdr:row>
      <xdr:rowOff>27653</xdr:rowOff>
    </xdr:to>
    <xdr:pic>
      <xdr:nvPicPr>
        <xdr:cNvPr id="66" name="Gráfico 65">
          <a:extLst>
            <a:ext uri="{FF2B5EF4-FFF2-40B4-BE49-F238E27FC236}">
              <a16:creationId xmlns:a16="http://schemas.microsoft.com/office/drawing/2014/main" id="{08E27AE0-353A-E789-8E50-DAD802689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9027111" y="3773714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310489</xdr:colOff>
      <xdr:row>20</xdr:row>
      <xdr:rowOff>172356</xdr:rowOff>
    </xdr:from>
    <xdr:to>
      <xdr:col>19</xdr:col>
      <xdr:colOff>544064</xdr:colOff>
      <xdr:row>22</xdr:row>
      <xdr:rowOff>39899</xdr:rowOff>
    </xdr:to>
    <xdr:pic>
      <xdr:nvPicPr>
        <xdr:cNvPr id="68" name="Gráfico 67">
          <a:extLst>
            <a:ext uri="{FF2B5EF4-FFF2-40B4-BE49-F238E27FC236}">
              <a16:creationId xmlns:a16="http://schemas.microsoft.com/office/drawing/2014/main" id="{F026E18F-5795-97CC-7BB4-8F27224C6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12647632" y="378278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10</xdr:col>
      <xdr:colOff>136620</xdr:colOff>
      <xdr:row>53</xdr:row>
      <xdr:rowOff>145144</xdr:rowOff>
    </xdr:from>
    <xdr:to>
      <xdr:col>10</xdr:col>
      <xdr:colOff>370195</xdr:colOff>
      <xdr:row>55</xdr:row>
      <xdr:rowOff>9511</xdr:rowOff>
    </xdr:to>
    <xdr:pic>
      <xdr:nvPicPr>
        <xdr:cNvPr id="70" name="Gráfico 69">
          <a:extLst>
            <a:ext uri="{FF2B5EF4-FFF2-40B4-BE49-F238E27FC236}">
              <a16:creationId xmlns:a16="http://schemas.microsoft.com/office/drawing/2014/main" id="{4BE08822-C66C-6468-84EA-6B0FEB2E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7157906" y="974271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375576</xdr:colOff>
      <xdr:row>53</xdr:row>
      <xdr:rowOff>145144</xdr:rowOff>
    </xdr:from>
    <xdr:to>
      <xdr:col>19</xdr:col>
      <xdr:colOff>602801</xdr:colOff>
      <xdr:row>55</xdr:row>
      <xdr:rowOff>9511</xdr:rowOff>
    </xdr:to>
    <xdr:pic>
      <xdr:nvPicPr>
        <xdr:cNvPr id="72" name="Gráfico 71">
          <a:extLst>
            <a:ext uri="{FF2B5EF4-FFF2-40B4-BE49-F238E27FC236}">
              <a16:creationId xmlns:a16="http://schemas.microsoft.com/office/drawing/2014/main" id="{A69823ED-318B-F180-82ED-F25169B2D0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2712719" y="9742715"/>
          <a:ext cx="230400" cy="230400"/>
        </a:xfrm>
        <a:prstGeom prst="rect">
          <a:avLst/>
        </a:prstGeom>
      </xdr:spPr>
    </xdr:pic>
    <xdr:clientData/>
  </xdr:twoCellAnchor>
  <xdr:twoCellAnchor editAs="oneCell">
    <xdr:from>
      <xdr:col>2</xdr:col>
      <xdr:colOff>467652</xdr:colOff>
      <xdr:row>29</xdr:row>
      <xdr:rowOff>70757</xdr:rowOff>
    </xdr:from>
    <xdr:to>
      <xdr:col>3</xdr:col>
      <xdr:colOff>219441</xdr:colOff>
      <xdr:row>31</xdr:row>
      <xdr:rowOff>67475</xdr:rowOff>
    </xdr:to>
    <xdr:pic>
      <xdr:nvPicPr>
        <xdr:cNvPr id="73" name="Gráfico 72">
          <a:extLst>
            <a:ext uri="{FF2B5EF4-FFF2-40B4-BE49-F238E27FC236}">
              <a16:creationId xmlns:a16="http://schemas.microsoft.com/office/drawing/2014/main" id="{D1278FD1-D233-041A-F40B-AFBF529AC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626652" y="5314043"/>
          <a:ext cx="356400" cy="356400"/>
        </a:xfrm>
        <a:prstGeom prst="rect">
          <a:avLst/>
        </a:prstGeom>
      </xdr:spPr>
    </xdr:pic>
    <xdr:clientData/>
  </xdr:twoCellAnchor>
  <xdr:twoCellAnchor>
    <xdr:from>
      <xdr:col>2</xdr:col>
      <xdr:colOff>424774</xdr:colOff>
      <xdr:row>32</xdr:row>
      <xdr:rowOff>137580</xdr:rowOff>
    </xdr:from>
    <xdr:to>
      <xdr:col>11</xdr:col>
      <xdr:colOff>127903</xdr:colOff>
      <xdr:row>50</xdr:row>
      <xdr:rowOff>25465</xdr:rowOff>
    </xdr:to>
    <xdr:graphicFrame macro="">
      <xdr:nvGraphicFramePr>
        <xdr:cNvPr id="74" name="Gráfico 73">
          <a:extLst>
            <a:ext uri="{FF2B5EF4-FFF2-40B4-BE49-F238E27FC236}">
              <a16:creationId xmlns:a16="http://schemas.microsoft.com/office/drawing/2014/main" id="{5A0E2DEB-9914-4F0B-BE45-184EF536A3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11</xdr:col>
      <xdr:colOff>252403</xdr:colOff>
      <xdr:row>32</xdr:row>
      <xdr:rowOff>137580</xdr:rowOff>
    </xdr:from>
    <xdr:to>
      <xdr:col>20</xdr:col>
      <xdr:colOff>109745</xdr:colOff>
      <xdr:row>50</xdr:row>
      <xdr:rowOff>25465</xdr:rowOff>
    </xdr:to>
    <xdr:graphicFrame macro="">
      <xdr:nvGraphicFramePr>
        <xdr:cNvPr id="75" name="Gráfico 74">
          <a:extLst>
            <a:ext uri="{FF2B5EF4-FFF2-40B4-BE49-F238E27FC236}">
              <a16:creationId xmlns:a16="http://schemas.microsoft.com/office/drawing/2014/main" id="{3C9CF369-1DFB-48FF-A685-CD1DE816B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863448AF-8576-40F5-A211-C18257264F0F}"/>
            </a:ext>
          </a:extLst>
        </xdr:cNvPr>
        <xdr:cNvSpPr>
          <a:spLocks noChangeAspect="1" noChangeArrowheads="1"/>
        </xdr:cNvSpPr>
      </xdr:nvSpPr>
      <xdr:spPr bwMode="auto">
        <a:xfrm>
          <a:off x="14471650" y="120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16384</xdr:col>
      <xdr:colOff>304800</xdr:colOff>
      <xdr:row>6</xdr:row>
      <xdr:rowOff>95250</xdr:rowOff>
    </xdr:to>
    <xdr:sp macro="" textlink="">
      <xdr:nvSpPr>
        <xdr:cNvPr id="3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58C10B20-3B74-40BA-9774-51BA0AD0FF37}"/>
            </a:ext>
          </a:extLst>
        </xdr:cNvPr>
        <xdr:cNvSpPr>
          <a:spLocks noChangeAspect="1" noChangeArrowheads="1"/>
        </xdr:cNvSpPr>
      </xdr:nvSpPr>
      <xdr:spPr bwMode="auto">
        <a:xfrm>
          <a:off x="15817850" y="120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9</xdr:row>
      <xdr:rowOff>0</xdr:rowOff>
    </xdr:from>
    <xdr:to>
      <xdr:col>13</xdr:col>
      <xdr:colOff>304800</xdr:colOff>
      <xdr:row>10</xdr:row>
      <xdr:rowOff>114301</xdr:rowOff>
    </xdr:to>
    <xdr:sp macro="" textlink="">
      <xdr:nvSpPr>
        <xdr:cNvPr id="2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D115F6FD-0BCC-4AED-AA4E-FF42392DDF74}"/>
            </a:ext>
          </a:extLst>
        </xdr:cNvPr>
        <xdr:cNvSpPr>
          <a:spLocks noChangeAspect="1" noChangeArrowheads="1"/>
        </xdr:cNvSpPr>
      </xdr:nvSpPr>
      <xdr:spPr bwMode="auto">
        <a:xfrm>
          <a:off x="17081500" y="920750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9</xdr:row>
      <xdr:rowOff>0</xdr:rowOff>
    </xdr:from>
    <xdr:to>
      <xdr:col>16384</xdr:col>
      <xdr:colOff>304800</xdr:colOff>
      <xdr:row>10</xdr:row>
      <xdr:rowOff>114301</xdr:rowOff>
    </xdr:to>
    <xdr:sp macro="" textlink="">
      <xdr:nvSpPr>
        <xdr:cNvPr id="3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B62B49FA-FB46-4CBF-B5FD-4292526990D1}"/>
            </a:ext>
          </a:extLst>
        </xdr:cNvPr>
        <xdr:cNvSpPr>
          <a:spLocks noChangeAspect="1" noChangeArrowheads="1"/>
        </xdr:cNvSpPr>
      </xdr:nvSpPr>
      <xdr:spPr bwMode="auto">
        <a:xfrm>
          <a:off x="18440400" y="920750"/>
          <a:ext cx="304800" cy="298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14.650334027778" createdVersion="8" refreshedVersion="8" minRefreshableVersion="3" recordCount="295" xr:uid="{65A67FAF-8546-4EDA-B19C-EDEF365E87B5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 count="295"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</sharedItems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4054895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x v="0"/>
    <s v="João Silva"/>
    <x v="0"/>
    <d v="2024-01-01T00:00:00"/>
    <x v="0"/>
    <n v="15"/>
    <x v="0"/>
    <x v="0"/>
    <n v="30"/>
    <x v="0"/>
    <n v="20"/>
    <n v="5"/>
    <n v="60"/>
  </r>
  <r>
    <x v="1"/>
    <s v="Maria Oliveira"/>
    <x v="1"/>
    <d v="2024-01-15T00:00:00"/>
    <x v="1"/>
    <n v="5"/>
    <x v="1"/>
    <x v="1"/>
    <s v="-"/>
    <x v="1"/>
    <n v="0"/>
    <n v="0"/>
    <n v="5"/>
  </r>
  <r>
    <x v="2"/>
    <s v="Lucas Fernandes"/>
    <x v="2"/>
    <d v="2024-02-10T00:00:00"/>
    <x v="0"/>
    <n v="10"/>
    <x v="2"/>
    <x v="1"/>
    <s v="-"/>
    <x v="0"/>
    <n v="20"/>
    <n v="10"/>
    <n v="20"/>
  </r>
  <r>
    <x v="3"/>
    <s v="Ana Souza"/>
    <x v="0"/>
    <d v="2024-02-20T00:00:00"/>
    <x v="1"/>
    <n v="15"/>
    <x v="0"/>
    <x v="0"/>
    <n v="30"/>
    <x v="0"/>
    <n v="20"/>
    <n v="3"/>
    <n v="62"/>
  </r>
  <r>
    <x v="4"/>
    <s v="Pedro Gonçalves"/>
    <x v="1"/>
    <d v="2024-03-05T00:00:00"/>
    <x v="0"/>
    <n v="5"/>
    <x v="0"/>
    <x v="1"/>
    <s v="-"/>
    <x v="1"/>
    <n v="0"/>
    <n v="1"/>
    <n v="4"/>
  </r>
  <r>
    <x v="5"/>
    <s v="Felipe Costa"/>
    <x v="2"/>
    <d v="2024-03-02T00:00:00"/>
    <x v="1"/>
    <n v="10"/>
    <x v="0"/>
    <x v="1"/>
    <s v="-"/>
    <x v="0"/>
    <n v="20"/>
    <n v="2"/>
    <n v="28"/>
  </r>
  <r>
    <x v="6"/>
    <s v="Camila Ribeiro"/>
    <x v="0"/>
    <d v="2024-03-03T00:00:00"/>
    <x v="0"/>
    <n v="15"/>
    <x v="2"/>
    <x v="0"/>
    <n v="30"/>
    <x v="0"/>
    <n v="20"/>
    <n v="10"/>
    <n v="55"/>
  </r>
  <r>
    <x v="7"/>
    <s v="André Mendes"/>
    <x v="1"/>
    <d v="2024-03-04T00:00:00"/>
    <x v="0"/>
    <n v="5"/>
    <x v="1"/>
    <x v="1"/>
    <s v="-"/>
    <x v="1"/>
    <n v="0"/>
    <n v="0"/>
    <n v="5"/>
  </r>
  <r>
    <x v="8"/>
    <s v="Sofia Almeida"/>
    <x v="0"/>
    <d v="2024-03-05T00:00:00"/>
    <x v="1"/>
    <n v="15"/>
    <x v="0"/>
    <x v="0"/>
    <n v="30"/>
    <x v="0"/>
    <n v="20"/>
    <n v="5"/>
    <n v="60"/>
  </r>
  <r>
    <x v="9"/>
    <s v="Bruno Martins"/>
    <x v="2"/>
    <d v="2024-03-06T00:00:00"/>
    <x v="0"/>
    <n v="10"/>
    <x v="2"/>
    <x v="1"/>
    <s v="-"/>
    <x v="0"/>
    <n v="20"/>
    <n v="15"/>
    <n v="15"/>
  </r>
  <r>
    <x v="10"/>
    <s v="Rita Castro"/>
    <x v="1"/>
    <d v="2024-03-07T00:00:00"/>
    <x v="1"/>
    <n v="5"/>
    <x v="0"/>
    <x v="1"/>
    <s v="-"/>
    <x v="1"/>
    <n v="0"/>
    <n v="1"/>
    <n v="4"/>
  </r>
  <r>
    <x v="11"/>
    <s v="Marco Túlio"/>
    <x v="0"/>
    <d v="2024-03-08T00:00:00"/>
    <x v="0"/>
    <n v="15"/>
    <x v="1"/>
    <x v="0"/>
    <n v="30"/>
    <x v="0"/>
    <n v="20"/>
    <n v="20"/>
    <n v="45"/>
  </r>
  <r>
    <x v="12"/>
    <s v="Lívia Silveira"/>
    <x v="2"/>
    <d v="2024-03-09T00:00:00"/>
    <x v="1"/>
    <n v="10"/>
    <x v="0"/>
    <x v="1"/>
    <s v="-"/>
    <x v="0"/>
    <n v="20"/>
    <n v="10"/>
    <n v="20"/>
  </r>
  <r>
    <x v="13"/>
    <s v="Diogo Sousa"/>
    <x v="1"/>
    <d v="2024-03-10T00:00:00"/>
    <x v="0"/>
    <n v="5"/>
    <x v="2"/>
    <x v="1"/>
    <s v="-"/>
    <x v="1"/>
    <n v="0"/>
    <n v="0"/>
    <n v="5"/>
  </r>
  <r>
    <x v="14"/>
    <s v="Fernanda Lima"/>
    <x v="0"/>
    <d v="2024-03-11T00:00:00"/>
    <x v="1"/>
    <n v="15"/>
    <x v="0"/>
    <x v="0"/>
    <n v="30"/>
    <x v="0"/>
    <n v="20"/>
    <n v="8"/>
    <n v="57"/>
  </r>
  <r>
    <x v="15"/>
    <s v="Caio Pereira"/>
    <x v="2"/>
    <d v="2024-03-12T00:00:00"/>
    <x v="0"/>
    <n v="10"/>
    <x v="1"/>
    <x v="1"/>
    <s v="-"/>
    <x v="0"/>
    <n v="20"/>
    <n v="12"/>
    <n v="18"/>
  </r>
  <r>
    <x v="16"/>
    <s v="Beatriz Gomes"/>
    <x v="1"/>
    <d v="2024-03-13T00:00:00"/>
    <x v="1"/>
    <n v="5"/>
    <x v="0"/>
    <x v="1"/>
    <s v="-"/>
    <x v="1"/>
    <n v="0"/>
    <n v="2"/>
    <n v="3"/>
  </r>
  <r>
    <x v="17"/>
    <s v="Cesar Oliveira"/>
    <x v="0"/>
    <d v="2024-03-14T00:00:00"/>
    <x v="0"/>
    <n v="15"/>
    <x v="2"/>
    <x v="0"/>
    <n v="30"/>
    <x v="0"/>
    <n v="20"/>
    <n v="7"/>
    <n v="58"/>
  </r>
  <r>
    <x v="18"/>
    <s v="Débora Machado"/>
    <x v="2"/>
    <d v="2024-03-15T00:00:00"/>
    <x v="1"/>
    <n v="10"/>
    <x v="0"/>
    <x v="1"/>
    <s v="-"/>
    <x v="0"/>
    <n v="20"/>
    <n v="5"/>
    <n v="25"/>
  </r>
  <r>
    <x v="19"/>
    <s v="Eduardo Vargas"/>
    <x v="1"/>
    <d v="2024-03-16T00:00:00"/>
    <x v="0"/>
    <n v="5"/>
    <x v="1"/>
    <x v="1"/>
    <s v="-"/>
    <x v="1"/>
    <n v="0"/>
    <n v="0"/>
    <n v="5"/>
  </r>
  <r>
    <x v="20"/>
    <s v="Gabriela Santos"/>
    <x v="0"/>
    <d v="2024-03-17T00:00:00"/>
    <x v="1"/>
    <n v="15"/>
    <x v="0"/>
    <x v="0"/>
    <n v="30"/>
    <x v="0"/>
    <n v="20"/>
    <n v="3"/>
    <n v="62"/>
  </r>
  <r>
    <x v="21"/>
    <s v="Henrique Dias"/>
    <x v="2"/>
    <d v="2024-03-18T00:00:00"/>
    <x v="0"/>
    <n v="10"/>
    <x v="2"/>
    <x v="1"/>
    <s v="-"/>
    <x v="0"/>
    <n v="20"/>
    <n v="15"/>
    <n v="15"/>
  </r>
  <r>
    <x v="22"/>
    <s v="Isabela Moreira"/>
    <x v="1"/>
    <d v="2024-03-19T00:00:00"/>
    <x v="1"/>
    <n v="5"/>
    <x v="0"/>
    <x v="1"/>
    <s v="-"/>
    <x v="1"/>
    <n v="0"/>
    <n v="1"/>
    <n v="4"/>
  </r>
  <r>
    <x v="23"/>
    <s v="Joaquim Barbosa"/>
    <x v="0"/>
    <d v="2024-03-20T00:00:00"/>
    <x v="0"/>
    <n v="15"/>
    <x v="1"/>
    <x v="0"/>
    <n v="30"/>
    <x v="0"/>
    <n v="20"/>
    <n v="20"/>
    <n v="45"/>
  </r>
  <r>
    <x v="24"/>
    <s v="Lara Rocha"/>
    <x v="2"/>
    <d v="2024-03-21T00:00:00"/>
    <x v="1"/>
    <n v="10"/>
    <x v="0"/>
    <x v="1"/>
    <s v="-"/>
    <x v="0"/>
    <n v="20"/>
    <n v="10"/>
    <n v="20"/>
  </r>
  <r>
    <x v="25"/>
    <s v="Matheus Silva"/>
    <x v="1"/>
    <d v="2024-03-22T00:00:00"/>
    <x v="0"/>
    <n v="5"/>
    <x v="2"/>
    <x v="1"/>
    <s v="-"/>
    <x v="1"/>
    <n v="0"/>
    <n v="0"/>
    <n v="5"/>
  </r>
  <r>
    <x v="26"/>
    <s v="Nicole Costa"/>
    <x v="0"/>
    <d v="2024-03-23T00:00:00"/>
    <x v="1"/>
    <n v="15"/>
    <x v="0"/>
    <x v="0"/>
    <n v="30"/>
    <x v="0"/>
    <n v="20"/>
    <n v="5"/>
    <n v="60"/>
  </r>
  <r>
    <x v="27"/>
    <s v="Otávio Mendonça"/>
    <x v="2"/>
    <d v="2024-03-24T00:00:00"/>
    <x v="0"/>
    <n v="10"/>
    <x v="1"/>
    <x v="1"/>
    <s v="-"/>
    <x v="0"/>
    <n v="20"/>
    <n v="15"/>
    <n v="15"/>
  </r>
  <r>
    <x v="28"/>
    <s v="Paula Ferreira"/>
    <x v="1"/>
    <d v="2024-03-25T00:00:00"/>
    <x v="1"/>
    <n v="5"/>
    <x v="0"/>
    <x v="1"/>
    <s v="-"/>
    <x v="1"/>
    <n v="0"/>
    <n v="1"/>
    <n v="4"/>
  </r>
  <r>
    <x v="29"/>
    <s v="Raquel Alves"/>
    <x v="0"/>
    <d v="2024-03-26T00:00:00"/>
    <x v="0"/>
    <n v="15"/>
    <x v="2"/>
    <x v="0"/>
    <n v="30"/>
    <x v="0"/>
    <n v="20"/>
    <n v="7"/>
    <n v="58"/>
  </r>
  <r>
    <x v="30"/>
    <s v="Samuel Pires"/>
    <x v="2"/>
    <d v="2024-03-27T00:00:00"/>
    <x v="1"/>
    <n v="10"/>
    <x v="0"/>
    <x v="1"/>
    <s v="-"/>
    <x v="0"/>
    <n v="20"/>
    <n v="10"/>
    <n v="20"/>
  </r>
  <r>
    <x v="31"/>
    <s v="Tânia Barros"/>
    <x v="1"/>
    <d v="2024-03-28T00:00:00"/>
    <x v="0"/>
    <n v="5"/>
    <x v="1"/>
    <x v="1"/>
    <s v="-"/>
    <x v="1"/>
    <n v="0"/>
    <n v="0"/>
    <n v="5"/>
  </r>
  <r>
    <x v="32"/>
    <s v="Vinicius Lima"/>
    <x v="0"/>
    <d v="2024-03-29T00:00:00"/>
    <x v="1"/>
    <n v="15"/>
    <x v="0"/>
    <x v="0"/>
    <n v="30"/>
    <x v="0"/>
    <n v="20"/>
    <n v="3"/>
    <n v="62"/>
  </r>
  <r>
    <x v="33"/>
    <s v="Yasmin Teixeira"/>
    <x v="2"/>
    <d v="2024-03-30T00:00:00"/>
    <x v="0"/>
    <n v="10"/>
    <x v="2"/>
    <x v="1"/>
    <s v="-"/>
    <x v="0"/>
    <n v="20"/>
    <n v="15"/>
    <n v="15"/>
  </r>
  <r>
    <x v="34"/>
    <s v="Zé Carlos"/>
    <x v="1"/>
    <d v="2024-03-31T00:00:00"/>
    <x v="1"/>
    <n v="5"/>
    <x v="0"/>
    <x v="1"/>
    <s v="-"/>
    <x v="1"/>
    <n v="0"/>
    <n v="1"/>
    <n v="4"/>
  </r>
  <r>
    <x v="35"/>
    <s v="Amanda Nogueira"/>
    <x v="1"/>
    <d v="2024-04-01T00:00:00"/>
    <x v="0"/>
    <n v="5"/>
    <x v="0"/>
    <x v="1"/>
    <s v="-"/>
    <x v="1"/>
    <n v="0"/>
    <n v="0"/>
    <n v="5"/>
  </r>
  <r>
    <x v="36"/>
    <s v="Bruno Cavalheiro"/>
    <x v="0"/>
    <d v="2024-04-02T00:00:00"/>
    <x v="1"/>
    <n v="15"/>
    <x v="2"/>
    <x v="0"/>
    <n v="30"/>
    <x v="0"/>
    <n v="20"/>
    <n v="7"/>
    <n v="58"/>
  </r>
  <r>
    <x v="37"/>
    <s v="Carla Dias"/>
    <x v="2"/>
    <d v="2024-04-03T00:00:00"/>
    <x v="0"/>
    <n v="10"/>
    <x v="1"/>
    <x v="1"/>
    <s v="-"/>
    <x v="0"/>
    <n v="20"/>
    <n v="10"/>
    <n v="20"/>
  </r>
  <r>
    <x v="38"/>
    <s v="Diego Fontes"/>
    <x v="1"/>
    <d v="2024-04-04T00:00:00"/>
    <x v="1"/>
    <n v="5"/>
    <x v="2"/>
    <x v="1"/>
    <s v="-"/>
    <x v="1"/>
    <n v="0"/>
    <n v="1"/>
    <n v="4"/>
  </r>
  <r>
    <x v="39"/>
    <s v="Eunice Lima"/>
    <x v="0"/>
    <d v="2024-04-05T00:00:00"/>
    <x v="0"/>
    <n v="15"/>
    <x v="0"/>
    <x v="0"/>
    <n v="30"/>
    <x v="0"/>
    <n v="20"/>
    <n v="15"/>
    <n v="50"/>
  </r>
  <r>
    <x v="40"/>
    <s v="Fábio Martins"/>
    <x v="2"/>
    <d v="2024-04-06T00:00:00"/>
    <x v="1"/>
    <n v="10"/>
    <x v="0"/>
    <x v="1"/>
    <s v="-"/>
    <x v="0"/>
    <n v="20"/>
    <n v="5"/>
    <n v="25"/>
  </r>
  <r>
    <x v="41"/>
    <s v="Gisele Araújo"/>
    <x v="1"/>
    <d v="2024-04-07T00:00:00"/>
    <x v="0"/>
    <n v="5"/>
    <x v="1"/>
    <x v="1"/>
    <s v="-"/>
    <x v="1"/>
    <n v="0"/>
    <n v="0"/>
    <n v="5"/>
  </r>
  <r>
    <x v="42"/>
    <s v="Hélio Castro"/>
    <x v="0"/>
    <d v="2024-04-08T00:00:00"/>
    <x v="1"/>
    <n v="15"/>
    <x v="2"/>
    <x v="0"/>
    <n v="30"/>
    <x v="0"/>
    <n v="20"/>
    <n v="20"/>
    <n v="45"/>
  </r>
  <r>
    <x v="43"/>
    <s v="Ingrid Menezes"/>
    <x v="2"/>
    <d v="2024-04-09T00:00:00"/>
    <x v="0"/>
    <n v="10"/>
    <x v="2"/>
    <x v="1"/>
    <s v="-"/>
    <x v="0"/>
    <n v="20"/>
    <n v="12"/>
    <n v="18"/>
  </r>
  <r>
    <x v="44"/>
    <s v="Jorge Baptista"/>
    <x v="1"/>
    <d v="2024-04-10T00:00:00"/>
    <x v="1"/>
    <n v="5"/>
    <x v="0"/>
    <x v="1"/>
    <s v="-"/>
    <x v="1"/>
    <n v="0"/>
    <n v="2"/>
    <n v="3"/>
  </r>
  <r>
    <x v="45"/>
    <s v="Kléber Oliveira"/>
    <x v="0"/>
    <d v="2024-04-11T00:00:00"/>
    <x v="0"/>
    <n v="15"/>
    <x v="1"/>
    <x v="0"/>
    <n v="30"/>
    <x v="0"/>
    <n v="20"/>
    <n v="5"/>
    <n v="60"/>
  </r>
  <r>
    <x v="46"/>
    <s v="Luciana Freitas"/>
    <x v="2"/>
    <d v="2024-04-12T00:00:00"/>
    <x v="1"/>
    <n v="10"/>
    <x v="0"/>
    <x v="1"/>
    <s v="-"/>
    <x v="0"/>
    <n v="20"/>
    <n v="10"/>
    <n v="20"/>
  </r>
  <r>
    <x v="47"/>
    <s v="Márcia Eller"/>
    <x v="1"/>
    <d v="2024-04-13T00:00:00"/>
    <x v="0"/>
    <n v="5"/>
    <x v="2"/>
    <x v="1"/>
    <s v="-"/>
    <x v="1"/>
    <n v="0"/>
    <n v="0"/>
    <n v="5"/>
  </r>
  <r>
    <x v="48"/>
    <s v="Nilo Peçanha"/>
    <x v="0"/>
    <d v="2024-04-14T00:00:00"/>
    <x v="1"/>
    <n v="15"/>
    <x v="0"/>
    <x v="0"/>
    <n v="30"/>
    <x v="0"/>
    <n v="20"/>
    <n v="3"/>
    <n v="62"/>
  </r>
  <r>
    <x v="49"/>
    <s v="Oscar Neves"/>
    <x v="2"/>
    <d v="2024-04-15T00:00:00"/>
    <x v="0"/>
    <n v="10"/>
    <x v="1"/>
    <x v="1"/>
    <s v="-"/>
    <x v="0"/>
    <n v="20"/>
    <n v="15"/>
    <n v="15"/>
  </r>
  <r>
    <x v="50"/>
    <s v="Patrícia Soares"/>
    <x v="1"/>
    <d v="2024-04-16T00:00:00"/>
    <x v="1"/>
    <n v="5"/>
    <x v="0"/>
    <x v="1"/>
    <s v="-"/>
    <x v="1"/>
    <n v="0"/>
    <n v="1"/>
    <n v="4"/>
  </r>
  <r>
    <x v="51"/>
    <s v="Quirino Gonçalves"/>
    <x v="0"/>
    <d v="2024-04-17T00:00:00"/>
    <x v="0"/>
    <n v="15"/>
    <x v="2"/>
    <x v="0"/>
    <n v="30"/>
    <x v="0"/>
    <n v="20"/>
    <n v="7"/>
    <n v="58"/>
  </r>
  <r>
    <x v="52"/>
    <s v="Raul Machado"/>
    <x v="2"/>
    <d v="2024-04-18T00:00:00"/>
    <x v="1"/>
    <n v="10"/>
    <x v="0"/>
    <x v="1"/>
    <s v="-"/>
    <x v="0"/>
    <n v="20"/>
    <n v="10"/>
    <n v="20"/>
  </r>
  <r>
    <x v="53"/>
    <s v="Sônia Lobo"/>
    <x v="1"/>
    <d v="2024-04-19T00:00:00"/>
    <x v="0"/>
    <n v="5"/>
    <x v="1"/>
    <x v="1"/>
    <s v="-"/>
    <x v="1"/>
    <n v="0"/>
    <n v="0"/>
    <n v="5"/>
  </r>
  <r>
    <x v="54"/>
    <s v="Tiago Ramos"/>
    <x v="0"/>
    <d v="2024-04-20T00:00:00"/>
    <x v="1"/>
    <n v="15"/>
    <x v="0"/>
    <x v="0"/>
    <n v="30"/>
    <x v="0"/>
    <n v="20"/>
    <n v="20"/>
    <n v="45"/>
  </r>
  <r>
    <x v="55"/>
    <s v="Ugo Pires"/>
    <x v="2"/>
    <d v="2024-04-21T00:00:00"/>
    <x v="0"/>
    <n v="10"/>
    <x v="2"/>
    <x v="1"/>
    <s v="-"/>
    <x v="0"/>
    <n v="20"/>
    <n v="15"/>
    <n v="15"/>
  </r>
  <r>
    <x v="56"/>
    <s v="Valéria Nobre"/>
    <x v="1"/>
    <d v="2024-04-22T00:00:00"/>
    <x v="1"/>
    <n v="5"/>
    <x v="0"/>
    <x v="1"/>
    <s v="-"/>
    <x v="1"/>
    <n v="0"/>
    <n v="1"/>
    <n v="4"/>
  </r>
  <r>
    <x v="57"/>
    <s v="William Siqueira"/>
    <x v="0"/>
    <d v="2024-04-23T00:00:00"/>
    <x v="0"/>
    <n v="15"/>
    <x v="1"/>
    <x v="0"/>
    <n v="30"/>
    <x v="0"/>
    <n v="20"/>
    <n v="3"/>
    <n v="62"/>
  </r>
  <r>
    <x v="58"/>
    <s v="Xuxa Meneghel"/>
    <x v="2"/>
    <d v="2024-04-24T00:00:00"/>
    <x v="1"/>
    <n v="10"/>
    <x v="0"/>
    <x v="1"/>
    <s v="-"/>
    <x v="0"/>
    <n v="20"/>
    <n v="10"/>
    <n v="20"/>
  </r>
  <r>
    <x v="59"/>
    <s v="Yara Figueiredo"/>
    <x v="1"/>
    <d v="2024-04-25T00:00:00"/>
    <x v="0"/>
    <n v="5"/>
    <x v="2"/>
    <x v="1"/>
    <s v="-"/>
    <x v="1"/>
    <n v="0"/>
    <n v="0"/>
    <n v="5"/>
  </r>
  <r>
    <x v="60"/>
    <s v="Zacarias Alves"/>
    <x v="0"/>
    <d v="2024-04-26T00:00:00"/>
    <x v="1"/>
    <n v="15"/>
    <x v="0"/>
    <x v="0"/>
    <n v="30"/>
    <x v="0"/>
    <n v="20"/>
    <n v="5"/>
    <n v="60"/>
  </r>
  <r>
    <x v="61"/>
    <s v="Amanda Bynes"/>
    <x v="2"/>
    <d v="2024-04-27T00:00:00"/>
    <x v="0"/>
    <n v="10"/>
    <x v="1"/>
    <x v="1"/>
    <s v="-"/>
    <x v="0"/>
    <n v="20"/>
    <n v="15"/>
    <n v="15"/>
  </r>
  <r>
    <x v="62"/>
    <s v="Bruno Mars"/>
    <x v="1"/>
    <d v="2024-04-28T00:00:00"/>
    <x v="1"/>
    <n v="5"/>
    <x v="0"/>
    <x v="1"/>
    <s v="-"/>
    <x v="1"/>
    <n v="0"/>
    <n v="1"/>
    <n v="4"/>
  </r>
  <r>
    <x v="63"/>
    <s v="Carla Bruni"/>
    <x v="0"/>
    <d v="2024-04-29T00:00:00"/>
    <x v="0"/>
    <n v="15"/>
    <x v="2"/>
    <x v="0"/>
    <n v="30"/>
    <x v="0"/>
    <n v="20"/>
    <n v="20"/>
    <n v="45"/>
  </r>
  <r>
    <x v="64"/>
    <s v="Diego Maradona"/>
    <x v="2"/>
    <d v="2024-04-30T00:00:00"/>
    <x v="1"/>
    <n v="10"/>
    <x v="0"/>
    <x v="1"/>
    <s v="-"/>
    <x v="0"/>
    <n v="20"/>
    <n v="5"/>
    <n v="25"/>
  </r>
  <r>
    <x v="65"/>
    <s v="Estela Marques"/>
    <x v="1"/>
    <d v="2024-05-01T00:00:00"/>
    <x v="1"/>
    <n v="5"/>
    <x v="0"/>
    <x v="1"/>
    <s v="-"/>
    <x v="1"/>
    <n v="0"/>
    <n v="0"/>
    <n v="5"/>
  </r>
  <r>
    <x v="66"/>
    <s v="Fábio Nobre"/>
    <x v="0"/>
    <d v="2024-05-02T00:00:00"/>
    <x v="0"/>
    <n v="15"/>
    <x v="2"/>
    <x v="0"/>
    <n v="30"/>
    <x v="0"/>
    <n v="20"/>
    <n v="7"/>
    <n v="58"/>
  </r>
  <r>
    <x v="67"/>
    <s v="Gabriel Oliveira"/>
    <x v="2"/>
    <d v="2024-05-03T00:00:00"/>
    <x v="1"/>
    <n v="10"/>
    <x v="1"/>
    <x v="1"/>
    <s v="-"/>
    <x v="0"/>
    <n v="20"/>
    <n v="10"/>
    <n v="20"/>
  </r>
  <r>
    <x v="68"/>
    <s v="Helena Santos"/>
    <x v="1"/>
    <d v="2024-05-04T00:00:00"/>
    <x v="0"/>
    <n v="5"/>
    <x v="2"/>
    <x v="1"/>
    <s v="-"/>
    <x v="1"/>
    <n v="0"/>
    <n v="1"/>
    <n v="4"/>
  </r>
  <r>
    <x v="69"/>
    <s v="Ivan Carvalho"/>
    <x v="0"/>
    <d v="2024-05-05T00:00:00"/>
    <x v="1"/>
    <n v="15"/>
    <x v="0"/>
    <x v="0"/>
    <n v="30"/>
    <x v="0"/>
    <n v="20"/>
    <n v="15"/>
    <n v="50"/>
  </r>
  <r>
    <x v="70"/>
    <s v="Júlia Ferreira"/>
    <x v="2"/>
    <d v="2024-05-06T00:00:00"/>
    <x v="0"/>
    <n v="10"/>
    <x v="0"/>
    <x v="1"/>
    <s v="-"/>
    <x v="0"/>
    <n v="20"/>
    <n v="5"/>
    <n v="25"/>
  </r>
  <r>
    <x v="71"/>
    <s v="Karla Alves"/>
    <x v="1"/>
    <d v="2024-05-07T00:00:00"/>
    <x v="1"/>
    <n v="5"/>
    <x v="1"/>
    <x v="1"/>
    <s v="-"/>
    <x v="1"/>
    <n v="0"/>
    <n v="0"/>
    <n v="5"/>
  </r>
  <r>
    <x v="72"/>
    <s v="Lucas Mendes"/>
    <x v="0"/>
    <d v="2024-05-08T00:00:00"/>
    <x v="0"/>
    <n v="15"/>
    <x v="2"/>
    <x v="0"/>
    <n v="30"/>
    <x v="0"/>
    <n v="20"/>
    <n v="20"/>
    <n v="45"/>
  </r>
  <r>
    <x v="73"/>
    <s v="Mônica Gomes"/>
    <x v="2"/>
    <d v="2024-05-09T00:00:00"/>
    <x v="1"/>
    <n v="10"/>
    <x v="2"/>
    <x v="1"/>
    <s v="-"/>
    <x v="0"/>
    <n v="20"/>
    <n v="12"/>
    <n v="18"/>
  </r>
  <r>
    <x v="74"/>
    <s v="Norberto Queiroz"/>
    <x v="1"/>
    <d v="2024-05-10T00:00:00"/>
    <x v="0"/>
    <n v="5"/>
    <x v="0"/>
    <x v="1"/>
    <s v="-"/>
    <x v="1"/>
    <n v="0"/>
    <n v="2"/>
    <n v="3"/>
  </r>
  <r>
    <x v="75"/>
    <s v="Otávio Barros"/>
    <x v="0"/>
    <d v="2024-05-11T00:00:00"/>
    <x v="1"/>
    <n v="15"/>
    <x v="1"/>
    <x v="0"/>
    <n v="30"/>
    <x v="0"/>
    <n v="20"/>
    <n v="5"/>
    <n v="60"/>
  </r>
  <r>
    <x v="76"/>
    <s v="Paula Vieira"/>
    <x v="2"/>
    <d v="2024-05-12T00:00:00"/>
    <x v="0"/>
    <n v="10"/>
    <x v="0"/>
    <x v="1"/>
    <s v="-"/>
    <x v="0"/>
    <n v="20"/>
    <n v="10"/>
    <n v="20"/>
  </r>
  <r>
    <x v="77"/>
    <s v="Quentin Ramos"/>
    <x v="1"/>
    <d v="2024-05-13T00:00:00"/>
    <x v="1"/>
    <n v="5"/>
    <x v="2"/>
    <x v="1"/>
    <s v="-"/>
    <x v="1"/>
    <n v="0"/>
    <n v="0"/>
    <n v="5"/>
  </r>
  <r>
    <x v="78"/>
    <s v="Raquel Novaes"/>
    <x v="0"/>
    <d v="2024-05-14T00:00:00"/>
    <x v="0"/>
    <n v="15"/>
    <x v="0"/>
    <x v="0"/>
    <n v="30"/>
    <x v="0"/>
    <n v="20"/>
    <n v="3"/>
    <n v="62"/>
  </r>
  <r>
    <x v="79"/>
    <s v="Samantha Lopes"/>
    <x v="2"/>
    <d v="2024-05-15T00:00:00"/>
    <x v="1"/>
    <n v="10"/>
    <x v="1"/>
    <x v="1"/>
    <s v="-"/>
    <x v="0"/>
    <n v="20"/>
    <n v="15"/>
    <n v="15"/>
  </r>
  <r>
    <x v="80"/>
    <s v="Tiago Martins"/>
    <x v="1"/>
    <d v="2024-05-16T00:00:00"/>
    <x v="0"/>
    <n v="5"/>
    <x v="0"/>
    <x v="1"/>
    <s v="-"/>
    <x v="1"/>
    <n v="0"/>
    <n v="1"/>
    <n v="4"/>
  </r>
  <r>
    <x v="81"/>
    <s v="Ulysses Guimarães"/>
    <x v="0"/>
    <d v="2024-05-17T00:00:00"/>
    <x v="1"/>
    <n v="15"/>
    <x v="2"/>
    <x v="0"/>
    <n v="30"/>
    <x v="0"/>
    <n v="20"/>
    <n v="7"/>
    <n v="58"/>
  </r>
  <r>
    <x v="82"/>
    <s v="Vanessa Silva"/>
    <x v="2"/>
    <d v="2024-05-18T00:00:00"/>
    <x v="0"/>
    <n v="10"/>
    <x v="0"/>
    <x v="1"/>
    <s v="-"/>
    <x v="0"/>
    <n v="20"/>
    <n v="10"/>
    <n v="20"/>
  </r>
  <r>
    <x v="83"/>
    <s v="William Carneiro"/>
    <x v="1"/>
    <d v="2024-05-19T00:00:00"/>
    <x v="1"/>
    <n v="5"/>
    <x v="1"/>
    <x v="1"/>
    <s v="-"/>
    <x v="1"/>
    <n v="0"/>
    <n v="0"/>
    <n v="5"/>
  </r>
  <r>
    <x v="84"/>
    <s v="Ximena Rocha"/>
    <x v="0"/>
    <d v="2024-05-20T00:00:00"/>
    <x v="0"/>
    <n v="15"/>
    <x v="0"/>
    <x v="0"/>
    <n v="30"/>
    <x v="0"/>
    <n v="20"/>
    <n v="20"/>
    <n v="45"/>
  </r>
  <r>
    <x v="85"/>
    <s v="Yasmin Figueiredo"/>
    <x v="2"/>
    <d v="2024-05-21T00:00:00"/>
    <x v="1"/>
    <n v="10"/>
    <x v="2"/>
    <x v="1"/>
    <s v="-"/>
    <x v="0"/>
    <n v="20"/>
    <n v="15"/>
    <n v="15"/>
  </r>
  <r>
    <x v="86"/>
    <s v="Zara Cunha"/>
    <x v="1"/>
    <d v="2024-05-22T00:00:00"/>
    <x v="0"/>
    <n v="5"/>
    <x v="0"/>
    <x v="1"/>
    <s v="-"/>
    <x v="1"/>
    <n v="0"/>
    <n v="1"/>
    <n v="4"/>
  </r>
  <r>
    <x v="87"/>
    <s v="Alan Teixeira"/>
    <x v="0"/>
    <d v="2024-05-23T00:00:00"/>
    <x v="1"/>
    <n v="15"/>
    <x v="1"/>
    <x v="0"/>
    <n v="30"/>
    <x v="0"/>
    <n v="20"/>
    <n v="3"/>
    <n v="62"/>
  </r>
  <r>
    <x v="88"/>
    <s v="Bárbara Oliveira"/>
    <x v="2"/>
    <d v="2024-05-24T00:00:00"/>
    <x v="0"/>
    <n v="10"/>
    <x v="0"/>
    <x v="1"/>
    <s v="-"/>
    <x v="0"/>
    <n v="20"/>
    <n v="10"/>
    <n v="20"/>
  </r>
  <r>
    <x v="89"/>
    <s v="Carlos Junqueira"/>
    <x v="1"/>
    <d v="2024-05-25T00:00:00"/>
    <x v="1"/>
    <n v="5"/>
    <x v="2"/>
    <x v="1"/>
    <s v="-"/>
    <x v="1"/>
    <n v="0"/>
    <n v="0"/>
    <n v="5"/>
  </r>
  <r>
    <x v="90"/>
    <s v="Daniela Moura"/>
    <x v="0"/>
    <d v="2024-05-26T00:00:00"/>
    <x v="0"/>
    <n v="15"/>
    <x v="0"/>
    <x v="0"/>
    <n v="30"/>
    <x v="0"/>
    <n v="20"/>
    <n v="5"/>
    <n v="60"/>
  </r>
  <r>
    <x v="91"/>
    <s v="Eduardo Lima"/>
    <x v="2"/>
    <d v="2024-05-27T00:00:00"/>
    <x v="1"/>
    <n v="10"/>
    <x v="1"/>
    <x v="1"/>
    <s v="-"/>
    <x v="0"/>
    <n v="20"/>
    <n v="15"/>
    <n v="15"/>
  </r>
  <r>
    <x v="92"/>
    <s v="Fabiana Araújo"/>
    <x v="1"/>
    <d v="2024-05-28T00:00:00"/>
    <x v="0"/>
    <n v="5"/>
    <x v="0"/>
    <x v="1"/>
    <s v="-"/>
    <x v="1"/>
    <n v="0"/>
    <n v="1"/>
    <n v="4"/>
  </r>
  <r>
    <x v="93"/>
    <s v="Geraldo Ribeiro"/>
    <x v="0"/>
    <d v="2024-05-29T00:00:00"/>
    <x v="1"/>
    <n v="15"/>
    <x v="2"/>
    <x v="0"/>
    <n v="30"/>
    <x v="0"/>
    <n v="20"/>
    <n v="20"/>
    <n v="45"/>
  </r>
  <r>
    <x v="94"/>
    <s v="Héctor Vargas"/>
    <x v="2"/>
    <d v="2024-05-30T00:00:00"/>
    <x v="0"/>
    <n v="10"/>
    <x v="2"/>
    <x v="1"/>
    <s v="-"/>
    <x v="0"/>
    <n v="20"/>
    <n v="15"/>
    <n v="15"/>
  </r>
  <r>
    <x v="95"/>
    <s v="Isabela Fonseca"/>
    <x v="1"/>
    <d v="2024-05-31T00:00:00"/>
    <x v="1"/>
    <n v="5"/>
    <x v="1"/>
    <x v="1"/>
    <s v="-"/>
    <x v="1"/>
    <n v="0"/>
    <n v="0"/>
    <n v="5"/>
  </r>
  <r>
    <x v="96"/>
    <s v="João Pedro Almeida"/>
    <x v="0"/>
    <d v="2024-06-01T00:00:00"/>
    <x v="0"/>
    <n v="15"/>
    <x v="0"/>
    <x v="0"/>
    <n v="30"/>
    <x v="0"/>
    <n v="20"/>
    <n v="7"/>
    <n v="58"/>
  </r>
  <r>
    <x v="97"/>
    <s v="Klara Costa"/>
    <x v="2"/>
    <d v="2024-06-02T00:00:00"/>
    <x v="1"/>
    <n v="10"/>
    <x v="1"/>
    <x v="1"/>
    <s v="-"/>
    <x v="0"/>
    <n v="20"/>
    <n v="10"/>
    <n v="20"/>
  </r>
  <r>
    <x v="98"/>
    <s v="Luciana Mendes"/>
    <x v="1"/>
    <d v="2024-06-03T00:00:00"/>
    <x v="0"/>
    <n v="5"/>
    <x v="2"/>
    <x v="1"/>
    <s v="-"/>
    <x v="1"/>
    <n v="0"/>
    <n v="1"/>
    <n v="4"/>
  </r>
  <r>
    <x v="99"/>
    <s v="Marcelo Gouveia"/>
    <x v="0"/>
    <d v="2024-06-04T00:00:00"/>
    <x v="1"/>
    <n v="15"/>
    <x v="0"/>
    <x v="0"/>
    <n v="30"/>
    <x v="0"/>
    <n v="20"/>
    <n v="15"/>
    <n v="50"/>
  </r>
  <r>
    <x v="100"/>
    <s v="Nívea Borges"/>
    <x v="2"/>
    <d v="2024-06-05T00:00:00"/>
    <x v="0"/>
    <n v="10"/>
    <x v="0"/>
    <x v="1"/>
    <s v="-"/>
    <x v="0"/>
    <n v="20"/>
    <n v="5"/>
    <n v="25"/>
  </r>
  <r>
    <x v="101"/>
    <s v="Oscar Nogueira"/>
    <x v="1"/>
    <d v="2024-06-06T00:00:00"/>
    <x v="1"/>
    <n v="5"/>
    <x v="1"/>
    <x v="1"/>
    <s v="-"/>
    <x v="1"/>
    <n v="0"/>
    <n v="0"/>
    <n v="5"/>
  </r>
  <r>
    <x v="102"/>
    <s v="Patrícia Alves"/>
    <x v="0"/>
    <d v="2024-06-07T00:00:00"/>
    <x v="0"/>
    <n v="15"/>
    <x v="2"/>
    <x v="0"/>
    <n v="30"/>
    <x v="0"/>
    <n v="20"/>
    <n v="20"/>
    <n v="45"/>
  </r>
  <r>
    <x v="103"/>
    <s v="Rafaela Silva"/>
    <x v="2"/>
    <d v="2024-06-08T00:00:00"/>
    <x v="1"/>
    <n v="10"/>
    <x v="2"/>
    <x v="1"/>
    <s v="-"/>
    <x v="0"/>
    <n v="20"/>
    <n v="12"/>
    <n v="18"/>
  </r>
  <r>
    <x v="104"/>
    <s v="Samantha Moraes"/>
    <x v="1"/>
    <d v="2024-06-09T00:00:00"/>
    <x v="0"/>
    <n v="5"/>
    <x v="0"/>
    <x v="1"/>
    <s v="-"/>
    <x v="1"/>
    <n v="0"/>
    <n v="2"/>
    <n v="3"/>
  </r>
  <r>
    <x v="105"/>
    <s v="Tatiana Rocha"/>
    <x v="1"/>
    <d v="2024-06-10T00:00:00"/>
    <x v="0"/>
    <n v="5"/>
    <x v="0"/>
    <x v="1"/>
    <s v="-"/>
    <x v="1"/>
    <n v="0"/>
    <n v="0"/>
    <n v="5"/>
  </r>
  <r>
    <x v="106"/>
    <s v="Ulisses Tavares"/>
    <x v="0"/>
    <d v="2024-06-11T00:00:00"/>
    <x v="1"/>
    <n v="15"/>
    <x v="2"/>
    <x v="0"/>
    <n v="30"/>
    <x v="0"/>
    <n v="20"/>
    <n v="7"/>
    <n v="58"/>
  </r>
  <r>
    <x v="107"/>
    <s v="Víctor Lemos"/>
    <x v="2"/>
    <d v="2024-06-12T00:00:00"/>
    <x v="0"/>
    <n v="10"/>
    <x v="1"/>
    <x v="1"/>
    <s v="-"/>
    <x v="0"/>
    <n v="20"/>
    <n v="10"/>
    <n v="20"/>
  </r>
  <r>
    <x v="108"/>
    <s v="Wilma Barros"/>
    <x v="1"/>
    <d v="2024-06-13T00:00:00"/>
    <x v="1"/>
    <n v="5"/>
    <x v="2"/>
    <x v="1"/>
    <s v="-"/>
    <x v="1"/>
    <n v="0"/>
    <n v="1"/>
    <n v="4"/>
  </r>
  <r>
    <x v="109"/>
    <s v="Xavier Nascimento"/>
    <x v="0"/>
    <d v="2024-06-14T00:00:00"/>
    <x v="0"/>
    <n v="15"/>
    <x v="0"/>
    <x v="0"/>
    <n v="30"/>
    <x v="0"/>
    <n v="20"/>
    <n v="15"/>
    <n v="50"/>
  </r>
  <r>
    <x v="110"/>
    <s v="Yago Pereira"/>
    <x v="2"/>
    <d v="2024-06-15T00:00:00"/>
    <x v="1"/>
    <n v="10"/>
    <x v="0"/>
    <x v="1"/>
    <s v="-"/>
    <x v="0"/>
    <n v="20"/>
    <n v="5"/>
    <n v="25"/>
  </r>
  <r>
    <x v="111"/>
    <s v="Zilda Ferreira"/>
    <x v="1"/>
    <d v="2024-06-16T00:00:00"/>
    <x v="0"/>
    <n v="5"/>
    <x v="1"/>
    <x v="1"/>
    <s v="-"/>
    <x v="1"/>
    <n v="0"/>
    <n v="0"/>
    <n v="5"/>
  </r>
  <r>
    <x v="112"/>
    <s v="Amanda Lopes"/>
    <x v="0"/>
    <d v="2024-06-17T00:00:00"/>
    <x v="1"/>
    <n v="15"/>
    <x v="2"/>
    <x v="0"/>
    <n v="30"/>
    <x v="0"/>
    <n v="20"/>
    <n v="20"/>
    <n v="45"/>
  </r>
  <r>
    <x v="113"/>
    <s v="Bruno Miranda"/>
    <x v="2"/>
    <d v="2024-06-18T00:00:00"/>
    <x v="0"/>
    <n v="10"/>
    <x v="2"/>
    <x v="1"/>
    <s v="-"/>
    <x v="0"/>
    <n v="20"/>
    <n v="12"/>
    <n v="18"/>
  </r>
  <r>
    <x v="114"/>
    <s v="Célia Torres"/>
    <x v="1"/>
    <d v="2024-06-19T00:00:00"/>
    <x v="1"/>
    <n v="5"/>
    <x v="0"/>
    <x v="1"/>
    <s v="-"/>
    <x v="1"/>
    <n v="0"/>
    <n v="2"/>
    <n v="3"/>
  </r>
  <r>
    <x v="115"/>
    <s v="Diogo Souza"/>
    <x v="0"/>
    <d v="2024-06-20T00:00:00"/>
    <x v="0"/>
    <n v="15"/>
    <x v="1"/>
    <x v="0"/>
    <n v="30"/>
    <x v="0"/>
    <n v="20"/>
    <n v="5"/>
    <n v="60"/>
  </r>
  <r>
    <x v="116"/>
    <s v="Elisa Castro"/>
    <x v="2"/>
    <d v="2024-06-21T00:00:00"/>
    <x v="1"/>
    <n v="10"/>
    <x v="0"/>
    <x v="1"/>
    <s v="-"/>
    <x v="0"/>
    <n v="20"/>
    <n v="10"/>
    <n v="20"/>
  </r>
  <r>
    <x v="117"/>
    <s v="Fátima Lima"/>
    <x v="1"/>
    <d v="2024-06-22T00:00:00"/>
    <x v="0"/>
    <n v="5"/>
    <x v="2"/>
    <x v="1"/>
    <s v="-"/>
    <x v="1"/>
    <n v="0"/>
    <n v="0"/>
    <n v="5"/>
  </r>
  <r>
    <x v="118"/>
    <s v="Geraldo Ribeiro"/>
    <x v="0"/>
    <d v="2024-06-23T00:00:00"/>
    <x v="1"/>
    <n v="15"/>
    <x v="0"/>
    <x v="0"/>
    <n v="30"/>
    <x v="0"/>
    <n v="20"/>
    <n v="3"/>
    <n v="62"/>
  </r>
  <r>
    <x v="119"/>
    <s v="Hélio Martins"/>
    <x v="2"/>
    <d v="2024-06-24T00:00:00"/>
    <x v="0"/>
    <n v="10"/>
    <x v="1"/>
    <x v="1"/>
    <s v="-"/>
    <x v="0"/>
    <n v="20"/>
    <n v="15"/>
    <n v="15"/>
  </r>
  <r>
    <x v="120"/>
    <s v="Íris Santos"/>
    <x v="1"/>
    <d v="2024-06-25T00:00:00"/>
    <x v="1"/>
    <n v="5"/>
    <x v="0"/>
    <x v="1"/>
    <s v="-"/>
    <x v="1"/>
    <n v="0"/>
    <n v="1"/>
    <n v="4"/>
  </r>
  <r>
    <x v="121"/>
    <s v="João Marcelo"/>
    <x v="0"/>
    <d v="2024-06-26T00:00:00"/>
    <x v="0"/>
    <n v="15"/>
    <x v="2"/>
    <x v="0"/>
    <n v="30"/>
    <x v="0"/>
    <n v="20"/>
    <n v="7"/>
    <n v="58"/>
  </r>
  <r>
    <x v="122"/>
    <s v="Larissa Gomes"/>
    <x v="2"/>
    <d v="2024-06-27T00:00:00"/>
    <x v="1"/>
    <n v="10"/>
    <x v="0"/>
    <x v="1"/>
    <s v="-"/>
    <x v="0"/>
    <n v="20"/>
    <n v="10"/>
    <n v="20"/>
  </r>
  <r>
    <x v="123"/>
    <s v="Márcio Silva"/>
    <x v="1"/>
    <d v="2024-06-28T00:00:00"/>
    <x v="0"/>
    <n v="5"/>
    <x v="1"/>
    <x v="1"/>
    <s v="-"/>
    <x v="1"/>
    <n v="0"/>
    <n v="0"/>
    <n v="5"/>
  </r>
  <r>
    <x v="124"/>
    <s v="Nadia Costa"/>
    <x v="0"/>
    <d v="2024-06-29T00:00:00"/>
    <x v="1"/>
    <n v="15"/>
    <x v="0"/>
    <x v="0"/>
    <n v="30"/>
    <x v="0"/>
    <n v="20"/>
    <n v="20"/>
    <n v="45"/>
  </r>
  <r>
    <x v="125"/>
    <s v="Oscar Almeida"/>
    <x v="2"/>
    <d v="2024-06-30T00:00:00"/>
    <x v="0"/>
    <n v="10"/>
    <x v="2"/>
    <x v="1"/>
    <s v="-"/>
    <x v="0"/>
    <n v="20"/>
    <n v="15"/>
    <n v="15"/>
  </r>
  <r>
    <x v="126"/>
    <s v="Patricia Soares"/>
    <x v="1"/>
    <d v="2024-07-01T00:00:00"/>
    <x v="1"/>
    <n v="5"/>
    <x v="0"/>
    <x v="1"/>
    <s v="-"/>
    <x v="1"/>
    <n v="0"/>
    <n v="1"/>
    <n v="4"/>
  </r>
  <r>
    <x v="127"/>
    <s v="Quênia Barros"/>
    <x v="0"/>
    <d v="2024-07-02T00:00:00"/>
    <x v="0"/>
    <n v="15"/>
    <x v="1"/>
    <x v="0"/>
    <n v="30"/>
    <x v="0"/>
    <n v="20"/>
    <n v="3"/>
    <n v="62"/>
  </r>
  <r>
    <x v="128"/>
    <s v="Rafael Torres"/>
    <x v="2"/>
    <d v="2024-07-03T00:00:00"/>
    <x v="1"/>
    <n v="10"/>
    <x v="0"/>
    <x v="1"/>
    <s v="-"/>
    <x v="0"/>
    <n v="20"/>
    <n v="10"/>
    <n v="20"/>
  </r>
  <r>
    <x v="129"/>
    <s v="Silvia Nascimento"/>
    <x v="1"/>
    <d v="2024-07-04T00:00:00"/>
    <x v="0"/>
    <n v="5"/>
    <x v="2"/>
    <x v="1"/>
    <s v="-"/>
    <x v="1"/>
    <n v="0"/>
    <n v="0"/>
    <n v="5"/>
  </r>
  <r>
    <x v="130"/>
    <s v="Tiago Mendes"/>
    <x v="0"/>
    <d v="2024-07-05T00:00:00"/>
    <x v="1"/>
    <n v="15"/>
    <x v="0"/>
    <x v="0"/>
    <n v="30"/>
    <x v="0"/>
    <n v="20"/>
    <n v="15"/>
    <n v="50"/>
  </r>
  <r>
    <x v="131"/>
    <s v="Ursula Silva"/>
    <x v="2"/>
    <d v="2024-07-06T00:00:00"/>
    <x v="0"/>
    <n v="10"/>
    <x v="1"/>
    <x v="1"/>
    <s v="-"/>
    <x v="0"/>
    <n v="20"/>
    <n v="15"/>
    <n v="15"/>
  </r>
  <r>
    <x v="132"/>
    <s v="Vanessa Moraes"/>
    <x v="1"/>
    <d v="2024-07-07T00:00:00"/>
    <x v="1"/>
    <n v="5"/>
    <x v="0"/>
    <x v="1"/>
    <s v="-"/>
    <x v="1"/>
    <n v="0"/>
    <n v="1"/>
    <n v="4"/>
  </r>
  <r>
    <x v="133"/>
    <s v="Waldir Junior"/>
    <x v="0"/>
    <d v="2024-07-08T00:00:00"/>
    <x v="0"/>
    <n v="15"/>
    <x v="2"/>
    <x v="0"/>
    <n v="30"/>
    <x v="0"/>
    <n v="20"/>
    <n v="7"/>
    <n v="58"/>
  </r>
  <r>
    <x v="134"/>
    <s v="Xavier Lopes"/>
    <x v="2"/>
    <d v="2024-07-09T00:00:00"/>
    <x v="1"/>
    <n v="10"/>
    <x v="0"/>
    <x v="1"/>
    <s v="-"/>
    <x v="0"/>
    <n v="20"/>
    <n v="10"/>
    <n v="20"/>
  </r>
  <r>
    <x v="135"/>
    <s v="Yolanda Freitas"/>
    <x v="1"/>
    <d v="2024-07-10T00:00:00"/>
    <x v="0"/>
    <n v="5"/>
    <x v="0"/>
    <x v="1"/>
    <s v="-"/>
    <x v="1"/>
    <n v="0"/>
    <n v="0"/>
    <n v="5"/>
  </r>
  <r>
    <x v="136"/>
    <s v="Zacarias Nunes"/>
    <x v="0"/>
    <d v="2024-07-11T00:00:00"/>
    <x v="1"/>
    <n v="15"/>
    <x v="2"/>
    <x v="0"/>
    <n v="30"/>
    <x v="0"/>
    <n v="20"/>
    <n v="7"/>
    <n v="58"/>
  </r>
  <r>
    <x v="137"/>
    <s v="Ana Clara Barreto"/>
    <x v="2"/>
    <d v="2024-07-12T00:00:00"/>
    <x v="0"/>
    <n v="10"/>
    <x v="1"/>
    <x v="1"/>
    <s v="-"/>
    <x v="0"/>
    <n v="20"/>
    <n v="10"/>
    <n v="20"/>
  </r>
  <r>
    <x v="138"/>
    <s v="Bruno Henrique"/>
    <x v="1"/>
    <d v="2024-07-13T00:00:00"/>
    <x v="1"/>
    <n v="5"/>
    <x v="2"/>
    <x v="1"/>
    <s v="-"/>
    <x v="1"/>
    <n v="0"/>
    <n v="1"/>
    <n v="4"/>
  </r>
  <r>
    <x v="139"/>
    <s v="Carlos Eduardo"/>
    <x v="0"/>
    <d v="2024-07-14T00:00:00"/>
    <x v="0"/>
    <n v="15"/>
    <x v="0"/>
    <x v="0"/>
    <n v="30"/>
    <x v="0"/>
    <n v="20"/>
    <n v="15"/>
    <n v="50"/>
  </r>
  <r>
    <x v="140"/>
    <s v="Débora Lima"/>
    <x v="2"/>
    <d v="2024-07-15T00:00:00"/>
    <x v="1"/>
    <n v="10"/>
    <x v="0"/>
    <x v="1"/>
    <s v="-"/>
    <x v="0"/>
    <n v="20"/>
    <n v="5"/>
    <n v="25"/>
  </r>
  <r>
    <x v="141"/>
    <s v="Elisa Neves"/>
    <x v="1"/>
    <d v="2024-07-16T00:00:00"/>
    <x v="0"/>
    <n v="5"/>
    <x v="1"/>
    <x v="1"/>
    <s v="-"/>
    <x v="1"/>
    <n v="0"/>
    <n v="0"/>
    <n v="5"/>
  </r>
  <r>
    <x v="142"/>
    <s v="Fabiano Gomes"/>
    <x v="0"/>
    <d v="2024-07-17T00:00:00"/>
    <x v="1"/>
    <n v="15"/>
    <x v="2"/>
    <x v="0"/>
    <n v="30"/>
    <x v="0"/>
    <n v="20"/>
    <n v="20"/>
    <n v="45"/>
  </r>
  <r>
    <x v="143"/>
    <s v="Gisele Oliveira"/>
    <x v="2"/>
    <d v="2024-07-18T00:00:00"/>
    <x v="0"/>
    <n v="10"/>
    <x v="2"/>
    <x v="1"/>
    <s v="-"/>
    <x v="0"/>
    <n v="20"/>
    <n v="12"/>
    <n v="18"/>
  </r>
  <r>
    <x v="144"/>
    <s v="Héctor Silva"/>
    <x v="1"/>
    <d v="2024-07-19T00:00:00"/>
    <x v="1"/>
    <n v="5"/>
    <x v="0"/>
    <x v="1"/>
    <s v="-"/>
    <x v="1"/>
    <n v="0"/>
    <n v="2"/>
    <n v="3"/>
  </r>
  <r>
    <x v="145"/>
    <s v="Igor Martins"/>
    <x v="0"/>
    <d v="2024-07-20T00:00:00"/>
    <x v="0"/>
    <n v="15"/>
    <x v="1"/>
    <x v="0"/>
    <n v="30"/>
    <x v="0"/>
    <n v="20"/>
    <n v="5"/>
    <n v="60"/>
  </r>
  <r>
    <x v="146"/>
    <s v="Joana Figueiredo"/>
    <x v="2"/>
    <d v="2024-07-21T00:00:00"/>
    <x v="1"/>
    <n v="10"/>
    <x v="0"/>
    <x v="1"/>
    <s v="-"/>
    <x v="0"/>
    <n v="20"/>
    <n v="10"/>
    <n v="20"/>
  </r>
  <r>
    <x v="147"/>
    <s v="Kleber Machado"/>
    <x v="1"/>
    <d v="2024-07-22T00:00:00"/>
    <x v="0"/>
    <n v="5"/>
    <x v="2"/>
    <x v="1"/>
    <s v="-"/>
    <x v="1"/>
    <n v="0"/>
    <n v="0"/>
    <n v="5"/>
  </r>
  <r>
    <x v="148"/>
    <s v="Luciana Santos"/>
    <x v="0"/>
    <d v="2024-07-23T00:00:00"/>
    <x v="1"/>
    <n v="15"/>
    <x v="0"/>
    <x v="0"/>
    <n v="30"/>
    <x v="0"/>
    <n v="20"/>
    <n v="3"/>
    <n v="62"/>
  </r>
  <r>
    <x v="149"/>
    <s v="Marcos Teixeira"/>
    <x v="2"/>
    <d v="2024-07-24T00:00:00"/>
    <x v="0"/>
    <n v="10"/>
    <x v="1"/>
    <x v="1"/>
    <s v="-"/>
    <x v="0"/>
    <n v="20"/>
    <n v="15"/>
    <n v="15"/>
  </r>
  <r>
    <x v="150"/>
    <s v="Natalia Costa"/>
    <x v="1"/>
    <d v="2024-07-25T00:00:00"/>
    <x v="1"/>
    <n v="5"/>
    <x v="0"/>
    <x v="1"/>
    <s v="-"/>
    <x v="1"/>
    <n v="0"/>
    <n v="1"/>
    <n v="4"/>
  </r>
  <r>
    <x v="151"/>
    <s v="Oscar Ribeiro"/>
    <x v="0"/>
    <d v="2024-07-26T00:00:00"/>
    <x v="0"/>
    <n v="15"/>
    <x v="2"/>
    <x v="0"/>
    <n v="30"/>
    <x v="0"/>
    <n v="20"/>
    <n v="7"/>
    <n v="58"/>
  </r>
  <r>
    <x v="152"/>
    <s v="Patricia Almeida"/>
    <x v="2"/>
    <d v="2024-07-27T00:00:00"/>
    <x v="1"/>
    <n v="10"/>
    <x v="0"/>
    <x v="1"/>
    <s v="-"/>
    <x v="0"/>
    <n v="20"/>
    <n v="10"/>
    <n v="20"/>
  </r>
  <r>
    <x v="153"/>
    <s v="Quirino Junior"/>
    <x v="1"/>
    <d v="2024-07-28T00:00:00"/>
    <x v="0"/>
    <n v="5"/>
    <x v="1"/>
    <x v="1"/>
    <s v="-"/>
    <x v="1"/>
    <n v="0"/>
    <n v="0"/>
    <n v="5"/>
  </r>
  <r>
    <x v="154"/>
    <s v="Renata Machado"/>
    <x v="0"/>
    <d v="2024-07-29T00:00:00"/>
    <x v="1"/>
    <n v="15"/>
    <x v="0"/>
    <x v="0"/>
    <n v="30"/>
    <x v="0"/>
    <n v="20"/>
    <n v="20"/>
    <n v="45"/>
  </r>
  <r>
    <x v="155"/>
    <s v="Sônia Alves"/>
    <x v="2"/>
    <d v="2024-07-30T00:00:00"/>
    <x v="0"/>
    <n v="10"/>
    <x v="2"/>
    <x v="1"/>
    <s v="-"/>
    <x v="0"/>
    <n v="20"/>
    <n v="15"/>
    <n v="15"/>
  </r>
  <r>
    <x v="156"/>
    <s v="Tiago Nunes"/>
    <x v="1"/>
    <d v="2024-07-31T00:00:00"/>
    <x v="1"/>
    <n v="5"/>
    <x v="0"/>
    <x v="1"/>
    <s v="-"/>
    <x v="1"/>
    <n v="0"/>
    <n v="1"/>
    <n v="4"/>
  </r>
  <r>
    <x v="157"/>
    <s v="Ulysses Pereira"/>
    <x v="0"/>
    <d v="2024-08-01T00:00:00"/>
    <x v="0"/>
    <n v="15"/>
    <x v="1"/>
    <x v="0"/>
    <n v="30"/>
    <x v="0"/>
    <n v="20"/>
    <n v="3"/>
    <n v="62"/>
  </r>
  <r>
    <x v="158"/>
    <s v="Vanessa Lima"/>
    <x v="2"/>
    <d v="2024-08-02T00:00:00"/>
    <x v="1"/>
    <n v="10"/>
    <x v="0"/>
    <x v="1"/>
    <s v="-"/>
    <x v="0"/>
    <n v="20"/>
    <n v="10"/>
    <n v="20"/>
  </r>
  <r>
    <x v="159"/>
    <s v="Wagner Santos"/>
    <x v="1"/>
    <d v="2024-08-03T00:00:00"/>
    <x v="0"/>
    <n v="5"/>
    <x v="2"/>
    <x v="1"/>
    <s v="-"/>
    <x v="1"/>
    <n v="0"/>
    <n v="0"/>
    <n v="5"/>
  </r>
  <r>
    <x v="160"/>
    <s v="Xuxa Meneghel"/>
    <x v="0"/>
    <d v="2024-08-04T00:00:00"/>
    <x v="1"/>
    <n v="15"/>
    <x v="0"/>
    <x v="0"/>
    <n v="30"/>
    <x v="0"/>
    <n v="20"/>
    <n v="15"/>
    <n v="50"/>
  </r>
  <r>
    <x v="161"/>
    <s v="Yasmin Silva"/>
    <x v="2"/>
    <d v="2024-08-05T00:00:00"/>
    <x v="0"/>
    <n v="10"/>
    <x v="1"/>
    <x v="1"/>
    <s v="-"/>
    <x v="0"/>
    <n v="20"/>
    <n v="15"/>
    <n v="15"/>
  </r>
  <r>
    <x v="162"/>
    <s v="Zacarias de Souza"/>
    <x v="1"/>
    <d v="2024-08-06T00:00:00"/>
    <x v="1"/>
    <n v="5"/>
    <x v="0"/>
    <x v="1"/>
    <s v="-"/>
    <x v="1"/>
    <n v="0"/>
    <n v="1"/>
    <n v="4"/>
  </r>
  <r>
    <x v="163"/>
    <s v="André Lima"/>
    <x v="0"/>
    <d v="2024-08-07T00:00:00"/>
    <x v="0"/>
    <n v="15"/>
    <x v="2"/>
    <x v="0"/>
    <n v="30"/>
    <x v="0"/>
    <n v="20"/>
    <n v="7"/>
    <n v="58"/>
  </r>
  <r>
    <x v="164"/>
    <s v="Bianca Freitas"/>
    <x v="2"/>
    <d v="2024-08-08T00:00:00"/>
    <x v="1"/>
    <n v="10"/>
    <x v="0"/>
    <x v="1"/>
    <s v="-"/>
    <x v="0"/>
    <n v="20"/>
    <n v="10"/>
    <n v="20"/>
  </r>
  <r>
    <x v="165"/>
    <s v="Caio Mendes"/>
    <x v="1"/>
    <d v="2024-08-09T00:00:00"/>
    <x v="0"/>
    <n v="5"/>
    <x v="1"/>
    <x v="1"/>
    <s v="-"/>
    <x v="1"/>
    <n v="0"/>
    <n v="0"/>
    <n v="5"/>
  </r>
  <r>
    <x v="166"/>
    <s v="Daniela Moura"/>
    <x v="0"/>
    <d v="2024-08-10T00:00:00"/>
    <x v="1"/>
    <n v="15"/>
    <x v="0"/>
    <x v="0"/>
    <n v="30"/>
    <x v="0"/>
    <n v="20"/>
    <n v="20"/>
    <n v="45"/>
  </r>
  <r>
    <x v="167"/>
    <s v="Eduardo Costa"/>
    <x v="2"/>
    <d v="2024-08-11T00:00:00"/>
    <x v="0"/>
    <n v="10"/>
    <x v="2"/>
    <x v="1"/>
    <s v="-"/>
    <x v="0"/>
    <n v="20"/>
    <n v="15"/>
    <n v="15"/>
  </r>
  <r>
    <x v="168"/>
    <s v="Fernanda Gomes"/>
    <x v="1"/>
    <d v="2024-08-12T00:00:00"/>
    <x v="1"/>
    <n v="5"/>
    <x v="0"/>
    <x v="1"/>
    <s v="-"/>
    <x v="1"/>
    <n v="0"/>
    <n v="1"/>
    <n v="4"/>
  </r>
  <r>
    <x v="169"/>
    <s v="Guilherme Souza"/>
    <x v="0"/>
    <d v="2024-08-13T00:00:00"/>
    <x v="0"/>
    <n v="15"/>
    <x v="1"/>
    <x v="0"/>
    <n v="30"/>
    <x v="0"/>
    <n v="20"/>
    <n v="5"/>
    <n v="60"/>
  </r>
  <r>
    <x v="170"/>
    <s v="Helena Ribeiro"/>
    <x v="2"/>
    <d v="2024-08-14T00:00:00"/>
    <x v="1"/>
    <n v="10"/>
    <x v="0"/>
    <x v="1"/>
    <s v="-"/>
    <x v="0"/>
    <n v="20"/>
    <n v="10"/>
    <n v="20"/>
  </r>
  <r>
    <x v="171"/>
    <s v="Igor Santos"/>
    <x v="1"/>
    <d v="2024-08-15T00:00:00"/>
    <x v="0"/>
    <n v="5"/>
    <x v="2"/>
    <x v="1"/>
    <s v="-"/>
    <x v="1"/>
    <n v="0"/>
    <n v="0"/>
    <n v="5"/>
  </r>
  <r>
    <x v="172"/>
    <s v="João Carvalho"/>
    <x v="0"/>
    <d v="2024-08-16T00:00:00"/>
    <x v="1"/>
    <n v="15"/>
    <x v="0"/>
    <x v="0"/>
    <n v="30"/>
    <x v="0"/>
    <n v="20"/>
    <n v="3"/>
    <n v="62"/>
  </r>
  <r>
    <x v="173"/>
    <s v="Klara Fagundes"/>
    <x v="2"/>
    <d v="2024-08-17T00:00:00"/>
    <x v="0"/>
    <n v="10"/>
    <x v="1"/>
    <x v="1"/>
    <s v="-"/>
    <x v="0"/>
    <n v="20"/>
    <n v="15"/>
    <n v="15"/>
  </r>
  <r>
    <x v="174"/>
    <s v="Lúcia Mendonça"/>
    <x v="1"/>
    <d v="2024-08-18T00:00:00"/>
    <x v="1"/>
    <n v="5"/>
    <x v="0"/>
    <x v="1"/>
    <s v="-"/>
    <x v="1"/>
    <n v="0"/>
    <n v="1"/>
    <n v="4"/>
  </r>
  <r>
    <x v="175"/>
    <s v="Marcelo Novaes"/>
    <x v="1"/>
    <d v="2024-08-19T00:00:00"/>
    <x v="0"/>
    <n v="5"/>
    <x v="0"/>
    <x v="1"/>
    <s v="-"/>
    <x v="1"/>
    <n v="0"/>
    <n v="0"/>
    <n v="5"/>
  </r>
  <r>
    <x v="176"/>
    <s v="Nina Pacheco"/>
    <x v="0"/>
    <d v="2024-08-20T00:00:00"/>
    <x v="1"/>
    <n v="15"/>
    <x v="2"/>
    <x v="0"/>
    <n v="30"/>
    <x v="0"/>
    <n v="20"/>
    <n v="7"/>
    <n v="58"/>
  </r>
  <r>
    <x v="177"/>
    <s v="Olívia Rios"/>
    <x v="2"/>
    <d v="2024-08-21T00:00:00"/>
    <x v="0"/>
    <n v="10"/>
    <x v="1"/>
    <x v="1"/>
    <s v="-"/>
    <x v="0"/>
    <n v="20"/>
    <n v="10"/>
    <n v="20"/>
  </r>
  <r>
    <x v="178"/>
    <s v="Paulo Quintana"/>
    <x v="1"/>
    <d v="2024-08-22T00:00:00"/>
    <x v="1"/>
    <n v="5"/>
    <x v="2"/>
    <x v="1"/>
    <s v="-"/>
    <x v="1"/>
    <n v="0"/>
    <n v="1"/>
    <n v="4"/>
  </r>
  <r>
    <x v="179"/>
    <s v="Raquel Domingos"/>
    <x v="0"/>
    <d v="2024-08-23T00:00:00"/>
    <x v="0"/>
    <n v="15"/>
    <x v="0"/>
    <x v="0"/>
    <n v="30"/>
    <x v="0"/>
    <n v="20"/>
    <n v="15"/>
    <n v="50"/>
  </r>
  <r>
    <x v="180"/>
    <s v="Samuel Viana"/>
    <x v="2"/>
    <d v="2024-08-24T00:00:00"/>
    <x v="1"/>
    <n v="10"/>
    <x v="0"/>
    <x v="1"/>
    <s v="-"/>
    <x v="0"/>
    <n v="20"/>
    <n v="5"/>
    <n v="25"/>
  </r>
  <r>
    <x v="181"/>
    <s v="Tatiane Rocha"/>
    <x v="1"/>
    <d v="2024-08-25T00:00:00"/>
    <x v="0"/>
    <n v="5"/>
    <x v="1"/>
    <x v="1"/>
    <s v="-"/>
    <x v="1"/>
    <n v="0"/>
    <n v="0"/>
    <n v="5"/>
  </r>
  <r>
    <x v="182"/>
    <s v="Ulysses Farias"/>
    <x v="0"/>
    <d v="2024-08-26T00:00:00"/>
    <x v="1"/>
    <n v="15"/>
    <x v="2"/>
    <x v="0"/>
    <n v="30"/>
    <x v="0"/>
    <n v="20"/>
    <n v="20"/>
    <n v="45"/>
  </r>
  <r>
    <x v="183"/>
    <s v="Vanessa Moreira"/>
    <x v="2"/>
    <d v="2024-08-27T00:00:00"/>
    <x v="0"/>
    <n v="10"/>
    <x v="2"/>
    <x v="1"/>
    <s v="-"/>
    <x v="0"/>
    <n v="20"/>
    <n v="12"/>
    <n v="18"/>
  </r>
  <r>
    <x v="184"/>
    <s v="William Carvalho"/>
    <x v="1"/>
    <d v="2024-08-28T00:00:00"/>
    <x v="1"/>
    <n v="5"/>
    <x v="0"/>
    <x v="1"/>
    <s v="-"/>
    <x v="1"/>
    <n v="0"/>
    <n v="2"/>
    <n v="3"/>
  </r>
  <r>
    <x v="185"/>
    <s v="Ximena Barros"/>
    <x v="0"/>
    <d v="2024-08-29T00:00:00"/>
    <x v="0"/>
    <n v="15"/>
    <x v="1"/>
    <x v="0"/>
    <n v="30"/>
    <x v="0"/>
    <n v="20"/>
    <n v="5"/>
    <n v="60"/>
  </r>
  <r>
    <x v="186"/>
    <s v="Yara Machado"/>
    <x v="2"/>
    <d v="2024-08-30T00:00:00"/>
    <x v="1"/>
    <n v="10"/>
    <x v="0"/>
    <x v="1"/>
    <s v="-"/>
    <x v="0"/>
    <n v="20"/>
    <n v="10"/>
    <n v="20"/>
  </r>
  <r>
    <x v="187"/>
    <s v="Zacarias Costa"/>
    <x v="1"/>
    <d v="2024-08-31T00:00:00"/>
    <x v="0"/>
    <n v="5"/>
    <x v="2"/>
    <x v="1"/>
    <s v="-"/>
    <x v="1"/>
    <n v="0"/>
    <n v="0"/>
    <n v="5"/>
  </r>
  <r>
    <x v="188"/>
    <s v="André Lopes"/>
    <x v="0"/>
    <d v="2024-09-01T00:00:00"/>
    <x v="1"/>
    <n v="15"/>
    <x v="0"/>
    <x v="0"/>
    <n v="30"/>
    <x v="0"/>
    <n v="20"/>
    <n v="3"/>
    <n v="62"/>
  </r>
  <r>
    <x v="189"/>
    <s v="Beatriz Souza"/>
    <x v="2"/>
    <d v="2024-09-02T00:00:00"/>
    <x v="0"/>
    <n v="10"/>
    <x v="1"/>
    <x v="1"/>
    <s v="-"/>
    <x v="0"/>
    <n v="20"/>
    <n v="15"/>
    <n v="15"/>
  </r>
  <r>
    <x v="190"/>
    <s v="Caio Pereira"/>
    <x v="1"/>
    <d v="2024-09-03T00:00:00"/>
    <x v="1"/>
    <n v="5"/>
    <x v="0"/>
    <x v="1"/>
    <s v="-"/>
    <x v="1"/>
    <n v="0"/>
    <n v="1"/>
    <n v="4"/>
  </r>
  <r>
    <x v="191"/>
    <s v="Daniela Araújo"/>
    <x v="0"/>
    <d v="2024-09-04T00:00:00"/>
    <x v="0"/>
    <n v="15"/>
    <x v="2"/>
    <x v="0"/>
    <n v="30"/>
    <x v="0"/>
    <n v="20"/>
    <n v="7"/>
    <n v="58"/>
  </r>
  <r>
    <x v="192"/>
    <s v="Eduardo Santos"/>
    <x v="2"/>
    <d v="2024-09-05T00:00:00"/>
    <x v="1"/>
    <n v="10"/>
    <x v="0"/>
    <x v="1"/>
    <s v="-"/>
    <x v="0"/>
    <n v="20"/>
    <n v="10"/>
    <n v="20"/>
  </r>
  <r>
    <x v="193"/>
    <s v="Fernanda Lima"/>
    <x v="1"/>
    <d v="2024-09-06T00:00:00"/>
    <x v="0"/>
    <n v="5"/>
    <x v="1"/>
    <x v="1"/>
    <s v="-"/>
    <x v="1"/>
    <n v="0"/>
    <n v="0"/>
    <n v="5"/>
  </r>
  <r>
    <x v="194"/>
    <s v="Gabriel Teixeira"/>
    <x v="0"/>
    <d v="2024-09-07T00:00:00"/>
    <x v="1"/>
    <n v="15"/>
    <x v="0"/>
    <x v="0"/>
    <n v="30"/>
    <x v="0"/>
    <n v="20"/>
    <n v="20"/>
    <n v="45"/>
  </r>
  <r>
    <x v="195"/>
    <s v="Helena Ribeiro"/>
    <x v="2"/>
    <d v="2024-09-08T00:00:00"/>
    <x v="0"/>
    <n v="10"/>
    <x v="2"/>
    <x v="1"/>
    <s v="-"/>
    <x v="0"/>
    <n v="20"/>
    <n v="15"/>
    <n v="15"/>
  </r>
  <r>
    <x v="196"/>
    <s v="Igor Mendes"/>
    <x v="1"/>
    <d v="2024-09-09T00:00:00"/>
    <x v="1"/>
    <n v="5"/>
    <x v="0"/>
    <x v="1"/>
    <s v="-"/>
    <x v="1"/>
    <n v="0"/>
    <n v="1"/>
    <n v="4"/>
  </r>
  <r>
    <x v="197"/>
    <s v="Joana Silveira"/>
    <x v="0"/>
    <d v="2024-09-10T00:00:00"/>
    <x v="0"/>
    <n v="15"/>
    <x v="1"/>
    <x v="0"/>
    <n v="30"/>
    <x v="0"/>
    <n v="20"/>
    <n v="3"/>
    <n v="62"/>
  </r>
  <r>
    <x v="198"/>
    <s v="Lucas Martins"/>
    <x v="2"/>
    <d v="2024-09-11T00:00:00"/>
    <x v="1"/>
    <n v="10"/>
    <x v="0"/>
    <x v="1"/>
    <s v="-"/>
    <x v="0"/>
    <n v="20"/>
    <n v="10"/>
    <n v="20"/>
  </r>
  <r>
    <x v="199"/>
    <s v="Marcela Gouveia"/>
    <x v="1"/>
    <d v="2024-09-12T00:00:00"/>
    <x v="0"/>
    <n v="5"/>
    <x v="2"/>
    <x v="1"/>
    <s v="-"/>
    <x v="1"/>
    <n v="0"/>
    <n v="0"/>
    <n v="5"/>
  </r>
  <r>
    <x v="200"/>
    <s v="Nicolas Borges"/>
    <x v="0"/>
    <d v="2024-09-13T00:00:00"/>
    <x v="1"/>
    <n v="15"/>
    <x v="0"/>
    <x v="0"/>
    <n v="30"/>
    <x v="0"/>
    <n v="20"/>
    <n v="15"/>
    <n v="50"/>
  </r>
  <r>
    <x v="201"/>
    <s v="Olivia Freitas"/>
    <x v="2"/>
    <d v="2024-09-14T00:00:00"/>
    <x v="0"/>
    <n v="10"/>
    <x v="1"/>
    <x v="1"/>
    <s v="-"/>
    <x v="0"/>
    <n v="20"/>
    <n v="15"/>
    <n v="15"/>
  </r>
  <r>
    <x v="202"/>
    <s v="Paulo Nogueira"/>
    <x v="1"/>
    <d v="2024-09-15T00:00:00"/>
    <x v="1"/>
    <n v="5"/>
    <x v="0"/>
    <x v="1"/>
    <s v="-"/>
    <x v="1"/>
    <n v="0"/>
    <n v="1"/>
    <n v="4"/>
  </r>
  <r>
    <x v="203"/>
    <s v="Raquel Andrade"/>
    <x v="0"/>
    <d v="2024-09-16T00:00:00"/>
    <x v="0"/>
    <n v="15"/>
    <x v="2"/>
    <x v="0"/>
    <n v="30"/>
    <x v="0"/>
    <n v="20"/>
    <n v="7"/>
    <n v="58"/>
  </r>
  <r>
    <x v="204"/>
    <s v="Sônia Carvalho"/>
    <x v="2"/>
    <d v="2024-09-17T00:00:00"/>
    <x v="1"/>
    <n v="10"/>
    <x v="0"/>
    <x v="1"/>
    <s v="-"/>
    <x v="0"/>
    <n v="20"/>
    <n v="10"/>
    <n v="20"/>
  </r>
  <r>
    <x v="205"/>
    <s v="Tiago Rodrigues"/>
    <x v="1"/>
    <d v="2024-09-18T00:00:00"/>
    <x v="0"/>
    <n v="5"/>
    <x v="0"/>
    <x v="1"/>
    <s v="-"/>
    <x v="1"/>
    <n v="0"/>
    <n v="0"/>
    <n v="5"/>
  </r>
  <r>
    <x v="206"/>
    <s v="Ursula Monteiro"/>
    <x v="0"/>
    <d v="2024-09-19T00:00:00"/>
    <x v="1"/>
    <n v="15"/>
    <x v="2"/>
    <x v="0"/>
    <n v="30"/>
    <x v="0"/>
    <n v="20"/>
    <n v="7"/>
    <n v="58"/>
  </r>
  <r>
    <x v="207"/>
    <s v="Vanessa Pereira"/>
    <x v="2"/>
    <d v="2024-09-20T00:00:00"/>
    <x v="0"/>
    <n v="10"/>
    <x v="1"/>
    <x v="1"/>
    <s v="-"/>
    <x v="0"/>
    <n v="20"/>
    <n v="10"/>
    <n v="20"/>
  </r>
  <r>
    <x v="208"/>
    <s v="Walter Silva"/>
    <x v="1"/>
    <d v="2024-09-21T00:00:00"/>
    <x v="1"/>
    <n v="5"/>
    <x v="2"/>
    <x v="1"/>
    <s v="-"/>
    <x v="1"/>
    <n v="0"/>
    <n v="1"/>
    <n v="4"/>
  </r>
  <r>
    <x v="209"/>
    <s v="Xavier Almeida"/>
    <x v="0"/>
    <d v="2024-09-22T00:00:00"/>
    <x v="0"/>
    <n v="15"/>
    <x v="0"/>
    <x v="0"/>
    <n v="30"/>
    <x v="0"/>
    <n v="20"/>
    <n v="15"/>
    <n v="50"/>
  </r>
  <r>
    <x v="210"/>
    <s v="Yasmine Correia"/>
    <x v="2"/>
    <d v="2024-09-23T00:00:00"/>
    <x v="1"/>
    <n v="10"/>
    <x v="0"/>
    <x v="1"/>
    <s v="-"/>
    <x v="0"/>
    <n v="20"/>
    <n v="5"/>
    <n v="25"/>
  </r>
  <r>
    <x v="211"/>
    <s v="Zacarias Almeida"/>
    <x v="1"/>
    <d v="2024-09-24T00:00:00"/>
    <x v="0"/>
    <n v="5"/>
    <x v="1"/>
    <x v="1"/>
    <s v="-"/>
    <x v="1"/>
    <n v="0"/>
    <n v="0"/>
    <n v="5"/>
  </r>
  <r>
    <x v="212"/>
    <s v="Amanda Costa"/>
    <x v="0"/>
    <d v="2024-09-25T00:00:00"/>
    <x v="1"/>
    <n v="15"/>
    <x v="2"/>
    <x v="0"/>
    <n v="30"/>
    <x v="0"/>
    <n v="20"/>
    <n v="20"/>
    <n v="45"/>
  </r>
  <r>
    <x v="213"/>
    <s v="Bruno Ferreira"/>
    <x v="2"/>
    <d v="2024-09-26T00:00:00"/>
    <x v="0"/>
    <n v="10"/>
    <x v="2"/>
    <x v="1"/>
    <s v="-"/>
    <x v="0"/>
    <n v="20"/>
    <n v="12"/>
    <n v="18"/>
  </r>
  <r>
    <x v="214"/>
    <s v="Carla Dias"/>
    <x v="1"/>
    <d v="2024-09-27T00:00:00"/>
    <x v="1"/>
    <n v="5"/>
    <x v="0"/>
    <x v="1"/>
    <s v="-"/>
    <x v="1"/>
    <n v="0"/>
    <n v="2"/>
    <n v="3"/>
  </r>
  <r>
    <x v="215"/>
    <s v="Diogo Martins"/>
    <x v="0"/>
    <d v="2024-09-28T00:00:00"/>
    <x v="0"/>
    <n v="15"/>
    <x v="1"/>
    <x v="0"/>
    <n v="30"/>
    <x v="0"/>
    <n v="20"/>
    <n v="5"/>
    <n v="60"/>
  </r>
  <r>
    <x v="216"/>
    <s v="Elisa Campos"/>
    <x v="2"/>
    <d v="2024-09-29T00:00:00"/>
    <x v="1"/>
    <n v="10"/>
    <x v="0"/>
    <x v="1"/>
    <s v="-"/>
    <x v="0"/>
    <n v="20"/>
    <n v="10"/>
    <n v="20"/>
  </r>
  <r>
    <x v="217"/>
    <s v="Fabiana Lima"/>
    <x v="1"/>
    <d v="2024-09-30T00:00:00"/>
    <x v="0"/>
    <n v="5"/>
    <x v="2"/>
    <x v="1"/>
    <s v="-"/>
    <x v="1"/>
    <n v="0"/>
    <n v="0"/>
    <n v="5"/>
  </r>
  <r>
    <x v="218"/>
    <s v="Gabriel Santos"/>
    <x v="0"/>
    <d v="2024-10-01T00:00:00"/>
    <x v="1"/>
    <n v="15"/>
    <x v="0"/>
    <x v="0"/>
    <n v="30"/>
    <x v="0"/>
    <n v="20"/>
    <n v="3"/>
    <n v="62"/>
  </r>
  <r>
    <x v="219"/>
    <s v="Helena Ferreira"/>
    <x v="2"/>
    <d v="2024-10-02T00:00:00"/>
    <x v="0"/>
    <n v="10"/>
    <x v="1"/>
    <x v="1"/>
    <s v="-"/>
    <x v="0"/>
    <n v="20"/>
    <n v="15"/>
    <n v="15"/>
  </r>
  <r>
    <x v="220"/>
    <s v="Ígor Nunes"/>
    <x v="1"/>
    <d v="2024-10-03T00:00:00"/>
    <x v="1"/>
    <n v="5"/>
    <x v="0"/>
    <x v="1"/>
    <s v="-"/>
    <x v="1"/>
    <n v="0"/>
    <n v="1"/>
    <n v="4"/>
  </r>
  <r>
    <x v="221"/>
    <s v="Joana Silveira"/>
    <x v="0"/>
    <d v="2024-10-04T00:00:00"/>
    <x v="0"/>
    <n v="15"/>
    <x v="2"/>
    <x v="0"/>
    <n v="30"/>
    <x v="0"/>
    <n v="20"/>
    <n v="7"/>
    <n v="58"/>
  </r>
  <r>
    <x v="222"/>
    <s v="Kléber Oliveira"/>
    <x v="2"/>
    <d v="2024-10-05T00:00:00"/>
    <x v="1"/>
    <n v="10"/>
    <x v="0"/>
    <x v="1"/>
    <s v="-"/>
    <x v="0"/>
    <n v="20"/>
    <n v="10"/>
    <n v="20"/>
  </r>
  <r>
    <x v="223"/>
    <s v="Luciana Morais"/>
    <x v="1"/>
    <d v="2024-10-06T00:00:00"/>
    <x v="0"/>
    <n v="5"/>
    <x v="1"/>
    <x v="1"/>
    <s v="-"/>
    <x v="1"/>
    <n v="0"/>
    <n v="0"/>
    <n v="5"/>
  </r>
  <r>
    <x v="224"/>
    <s v="Marcos Vinícius"/>
    <x v="0"/>
    <d v="2024-10-07T00:00:00"/>
    <x v="1"/>
    <n v="15"/>
    <x v="0"/>
    <x v="0"/>
    <n v="30"/>
    <x v="0"/>
    <n v="20"/>
    <n v="20"/>
    <n v="45"/>
  </r>
  <r>
    <x v="225"/>
    <s v="Natália Barros"/>
    <x v="2"/>
    <d v="2024-10-08T00:00:00"/>
    <x v="0"/>
    <n v="10"/>
    <x v="2"/>
    <x v="1"/>
    <s v="-"/>
    <x v="0"/>
    <n v="20"/>
    <n v="15"/>
    <n v="15"/>
  </r>
  <r>
    <x v="226"/>
    <s v="Oscar Sampaio"/>
    <x v="1"/>
    <d v="2024-10-09T00:00:00"/>
    <x v="1"/>
    <n v="5"/>
    <x v="0"/>
    <x v="1"/>
    <s v="-"/>
    <x v="1"/>
    <n v="0"/>
    <n v="1"/>
    <n v="4"/>
  </r>
  <r>
    <x v="227"/>
    <s v="Patrícia Leite"/>
    <x v="0"/>
    <d v="2024-10-10T00:00:00"/>
    <x v="0"/>
    <n v="15"/>
    <x v="1"/>
    <x v="0"/>
    <n v="30"/>
    <x v="0"/>
    <n v="20"/>
    <n v="3"/>
    <n v="62"/>
  </r>
  <r>
    <x v="228"/>
    <s v="Quênia Rocha"/>
    <x v="2"/>
    <d v="2024-10-11T00:00:00"/>
    <x v="1"/>
    <n v="10"/>
    <x v="0"/>
    <x v="1"/>
    <s v="-"/>
    <x v="0"/>
    <n v="20"/>
    <n v="10"/>
    <n v="20"/>
  </r>
  <r>
    <x v="229"/>
    <s v="Rafael Torres"/>
    <x v="1"/>
    <d v="2024-10-12T00:00:00"/>
    <x v="0"/>
    <n v="5"/>
    <x v="2"/>
    <x v="1"/>
    <s v="-"/>
    <x v="1"/>
    <n v="0"/>
    <n v="0"/>
    <n v="5"/>
  </r>
  <r>
    <x v="230"/>
    <s v="Sandra Gouveia"/>
    <x v="0"/>
    <d v="2024-10-13T00:00:00"/>
    <x v="1"/>
    <n v="15"/>
    <x v="0"/>
    <x v="0"/>
    <n v="30"/>
    <x v="0"/>
    <n v="20"/>
    <n v="15"/>
    <n v="50"/>
  </r>
  <r>
    <x v="231"/>
    <s v="Tiago Lacerda"/>
    <x v="2"/>
    <d v="2024-10-14T00:00:00"/>
    <x v="0"/>
    <n v="10"/>
    <x v="1"/>
    <x v="1"/>
    <s v="-"/>
    <x v="0"/>
    <n v="20"/>
    <n v="15"/>
    <n v="15"/>
  </r>
  <r>
    <x v="232"/>
    <s v="Ursula Fonseca"/>
    <x v="1"/>
    <d v="2024-10-15T00:00:00"/>
    <x v="1"/>
    <n v="5"/>
    <x v="0"/>
    <x v="1"/>
    <s v="-"/>
    <x v="1"/>
    <n v="0"/>
    <n v="1"/>
    <n v="4"/>
  </r>
  <r>
    <x v="233"/>
    <s v="Vanessa Andrade"/>
    <x v="0"/>
    <d v="2024-10-16T00:00:00"/>
    <x v="0"/>
    <n v="15"/>
    <x v="2"/>
    <x v="0"/>
    <n v="30"/>
    <x v="0"/>
    <n v="20"/>
    <n v="7"/>
    <n v="58"/>
  </r>
  <r>
    <x v="234"/>
    <s v="William Castro"/>
    <x v="2"/>
    <d v="2024-10-17T00:00:00"/>
    <x v="1"/>
    <n v="10"/>
    <x v="0"/>
    <x v="1"/>
    <s v="-"/>
    <x v="0"/>
    <n v="20"/>
    <n v="10"/>
    <n v="20"/>
  </r>
  <r>
    <x v="235"/>
    <s v="Xavier Monteiro"/>
    <x v="1"/>
    <d v="2024-10-18T00:00:00"/>
    <x v="0"/>
    <n v="5"/>
    <x v="1"/>
    <x v="1"/>
    <s v="-"/>
    <x v="1"/>
    <n v="0"/>
    <n v="0"/>
    <n v="5"/>
  </r>
  <r>
    <x v="236"/>
    <s v="Yasmin Figueira"/>
    <x v="0"/>
    <d v="2024-10-19T00:00:00"/>
    <x v="1"/>
    <n v="15"/>
    <x v="0"/>
    <x v="0"/>
    <n v="30"/>
    <x v="0"/>
    <n v="20"/>
    <n v="15"/>
    <n v="50"/>
  </r>
  <r>
    <x v="237"/>
    <s v="Zacarias Mendonça"/>
    <x v="2"/>
    <d v="2024-10-20T00:00:00"/>
    <x v="0"/>
    <n v="10"/>
    <x v="2"/>
    <x v="1"/>
    <s v="-"/>
    <x v="0"/>
    <n v="20"/>
    <n v="12"/>
    <n v="18"/>
  </r>
  <r>
    <x v="238"/>
    <s v="Amanda Menezes"/>
    <x v="1"/>
    <d v="2024-10-21T00:00:00"/>
    <x v="1"/>
    <n v="5"/>
    <x v="0"/>
    <x v="1"/>
    <s v="-"/>
    <x v="1"/>
    <n v="0"/>
    <n v="2"/>
    <n v="3"/>
  </r>
  <r>
    <x v="239"/>
    <s v="Bruno Santos"/>
    <x v="0"/>
    <d v="2024-10-22T00:00:00"/>
    <x v="0"/>
    <n v="15"/>
    <x v="1"/>
    <x v="0"/>
    <n v="30"/>
    <x v="0"/>
    <n v="20"/>
    <n v="5"/>
    <n v="60"/>
  </r>
  <r>
    <x v="240"/>
    <s v="Carla Ferreira"/>
    <x v="2"/>
    <d v="2024-10-23T00:00:00"/>
    <x v="1"/>
    <n v="10"/>
    <x v="0"/>
    <x v="1"/>
    <s v="-"/>
    <x v="0"/>
    <n v="20"/>
    <n v="10"/>
    <n v="20"/>
  </r>
  <r>
    <x v="241"/>
    <s v="Diogo Alves"/>
    <x v="1"/>
    <d v="2024-10-24T00:00:00"/>
    <x v="0"/>
    <n v="5"/>
    <x v="2"/>
    <x v="1"/>
    <s v="-"/>
    <x v="1"/>
    <n v="0"/>
    <n v="0"/>
    <n v="5"/>
  </r>
  <r>
    <x v="242"/>
    <s v="Elisa Neves"/>
    <x v="0"/>
    <d v="2024-10-25T00:00:00"/>
    <x v="1"/>
    <n v="15"/>
    <x v="0"/>
    <x v="0"/>
    <n v="30"/>
    <x v="0"/>
    <n v="20"/>
    <n v="3"/>
    <n v="62"/>
  </r>
  <r>
    <x v="243"/>
    <s v="Fabiano Pires"/>
    <x v="2"/>
    <d v="2024-10-26T00:00:00"/>
    <x v="0"/>
    <n v="10"/>
    <x v="1"/>
    <x v="1"/>
    <s v="-"/>
    <x v="0"/>
    <n v="20"/>
    <n v="15"/>
    <n v="15"/>
  </r>
  <r>
    <x v="244"/>
    <s v="Giovana Ribeiro"/>
    <x v="1"/>
    <d v="2024-10-27T00:00:00"/>
    <x v="1"/>
    <n v="5"/>
    <x v="0"/>
    <x v="1"/>
    <s v="-"/>
    <x v="1"/>
    <n v="0"/>
    <n v="1"/>
    <n v="4"/>
  </r>
  <r>
    <x v="245"/>
    <s v="Hélio Costa"/>
    <x v="0"/>
    <d v="2024-10-28T00:00:00"/>
    <x v="0"/>
    <n v="15"/>
    <x v="2"/>
    <x v="0"/>
    <n v="30"/>
    <x v="0"/>
    <n v="20"/>
    <n v="7"/>
    <n v="58"/>
  </r>
  <r>
    <x v="246"/>
    <s v="Íris Loureiro"/>
    <x v="2"/>
    <d v="2024-10-29T00:00:00"/>
    <x v="1"/>
    <n v="10"/>
    <x v="0"/>
    <x v="1"/>
    <s v="-"/>
    <x v="0"/>
    <n v="20"/>
    <n v="10"/>
    <n v="20"/>
  </r>
  <r>
    <x v="247"/>
    <s v="João Pereira"/>
    <x v="1"/>
    <d v="2024-10-30T00:00:00"/>
    <x v="0"/>
    <n v="5"/>
    <x v="1"/>
    <x v="1"/>
    <s v="-"/>
    <x v="1"/>
    <n v="0"/>
    <n v="0"/>
    <n v="5"/>
  </r>
  <r>
    <x v="248"/>
    <s v="Klara Silva"/>
    <x v="0"/>
    <d v="2024-10-31T00:00:00"/>
    <x v="1"/>
    <n v="15"/>
    <x v="0"/>
    <x v="0"/>
    <n v="30"/>
    <x v="0"/>
    <n v="20"/>
    <n v="20"/>
    <n v="45"/>
  </r>
  <r>
    <x v="249"/>
    <s v="Luciana Barros"/>
    <x v="2"/>
    <d v="2024-11-01T00:00:00"/>
    <x v="0"/>
    <n v="10"/>
    <x v="2"/>
    <x v="1"/>
    <s v="-"/>
    <x v="0"/>
    <n v="20"/>
    <n v="15"/>
    <n v="15"/>
  </r>
  <r>
    <x v="250"/>
    <s v="Marcos Gomes"/>
    <x v="1"/>
    <d v="2024-11-02T00:00:00"/>
    <x v="1"/>
    <n v="5"/>
    <x v="0"/>
    <x v="1"/>
    <s v="-"/>
    <x v="1"/>
    <n v="0"/>
    <n v="1"/>
    <n v="4"/>
  </r>
  <r>
    <x v="251"/>
    <s v="Natália Soares"/>
    <x v="0"/>
    <d v="2024-11-03T00:00:00"/>
    <x v="0"/>
    <n v="15"/>
    <x v="1"/>
    <x v="0"/>
    <n v="30"/>
    <x v="0"/>
    <n v="20"/>
    <n v="3"/>
    <n v="62"/>
  </r>
  <r>
    <x v="252"/>
    <s v="Oscar Machado"/>
    <x v="2"/>
    <d v="2024-11-04T00:00:00"/>
    <x v="1"/>
    <n v="10"/>
    <x v="0"/>
    <x v="1"/>
    <s v="-"/>
    <x v="0"/>
    <n v="20"/>
    <n v="10"/>
    <n v="20"/>
  </r>
  <r>
    <x v="253"/>
    <s v="Patrícia Lima"/>
    <x v="1"/>
    <d v="2024-11-05T00:00:00"/>
    <x v="0"/>
    <n v="5"/>
    <x v="2"/>
    <x v="1"/>
    <s v="-"/>
    <x v="1"/>
    <n v="0"/>
    <n v="0"/>
    <n v="5"/>
  </r>
  <r>
    <x v="254"/>
    <s v="Quirino Neto"/>
    <x v="0"/>
    <d v="2024-11-06T00:00:00"/>
    <x v="1"/>
    <n v="15"/>
    <x v="0"/>
    <x v="0"/>
    <n v="30"/>
    <x v="0"/>
    <n v="20"/>
    <n v="15"/>
    <n v="50"/>
  </r>
  <r>
    <x v="255"/>
    <s v="Rafaela Souza"/>
    <x v="1"/>
    <d v="2024-11-07T00:00:00"/>
    <x v="0"/>
    <n v="5"/>
    <x v="0"/>
    <x v="1"/>
    <s v="-"/>
    <x v="1"/>
    <n v="0"/>
    <n v="0"/>
    <n v="5"/>
  </r>
  <r>
    <x v="256"/>
    <s v="Sandro Almeida"/>
    <x v="0"/>
    <d v="2024-11-08T00:00:00"/>
    <x v="1"/>
    <n v="15"/>
    <x v="2"/>
    <x v="0"/>
    <n v="30"/>
    <x v="0"/>
    <n v="20"/>
    <n v="7"/>
    <n v="58"/>
  </r>
  <r>
    <x v="257"/>
    <s v="Tânia Ribeiro"/>
    <x v="2"/>
    <d v="2024-11-09T00:00:00"/>
    <x v="0"/>
    <n v="10"/>
    <x v="1"/>
    <x v="1"/>
    <s v="-"/>
    <x v="0"/>
    <n v="20"/>
    <n v="10"/>
    <n v="20"/>
  </r>
  <r>
    <x v="258"/>
    <s v="Ugo Dias"/>
    <x v="1"/>
    <d v="2024-11-10T00:00:00"/>
    <x v="1"/>
    <n v="5"/>
    <x v="2"/>
    <x v="1"/>
    <s v="-"/>
    <x v="1"/>
    <n v="0"/>
    <n v="1"/>
    <n v="4"/>
  </r>
  <r>
    <x v="259"/>
    <s v="Valéria Lima"/>
    <x v="0"/>
    <d v="2024-11-11T00:00:00"/>
    <x v="0"/>
    <n v="15"/>
    <x v="0"/>
    <x v="0"/>
    <n v="30"/>
    <x v="0"/>
    <n v="20"/>
    <n v="15"/>
    <n v="50"/>
  </r>
  <r>
    <x v="260"/>
    <s v="William Fernandes"/>
    <x v="2"/>
    <d v="2024-11-12T00:00:00"/>
    <x v="1"/>
    <n v="10"/>
    <x v="0"/>
    <x v="1"/>
    <s v="-"/>
    <x v="0"/>
    <n v="20"/>
    <n v="5"/>
    <n v="25"/>
  </r>
  <r>
    <x v="261"/>
    <s v="Xuxa Mendes"/>
    <x v="1"/>
    <d v="2024-11-13T00:00:00"/>
    <x v="0"/>
    <n v="5"/>
    <x v="1"/>
    <x v="1"/>
    <s v="-"/>
    <x v="1"/>
    <n v="0"/>
    <n v="0"/>
    <n v="5"/>
  </r>
  <r>
    <x v="262"/>
    <s v="Ygor Farias"/>
    <x v="0"/>
    <d v="2024-11-14T00:00:00"/>
    <x v="1"/>
    <n v="15"/>
    <x v="2"/>
    <x v="0"/>
    <n v="30"/>
    <x v="0"/>
    <n v="20"/>
    <n v="20"/>
    <n v="45"/>
  </r>
  <r>
    <x v="263"/>
    <s v="Zilda Barros"/>
    <x v="2"/>
    <d v="2024-11-15T00:00:00"/>
    <x v="0"/>
    <n v="10"/>
    <x v="2"/>
    <x v="1"/>
    <s v="-"/>
    <x v="0"/>
    <n v="20"/>
    <n v="12"/>
    <n v="18"/>
  </r>
  <r>
    <x v="264"/>
    <s v="Amanda Santos"/>
    <x v="1"/>
    <d v="2024-11-16T00:00:00"/>
    <x v="1"/>
    <n v="5"/>
    <x v="0"/>
    <x v="1"/>
    <s v="-"/>
    <x v="1"/>
    <n v="0"/>
    <n v="2"/>
    <n v="3"/>
  </r>
  <r>
    <x v="265"/>
    <s v="Bruno Costa"/>
    <x v="0"/>
    <d v="2024-11-17T00:00:00"/>
    <x v="0"/>
    <n v="15"/>
    <x v="1"/>
    <x v="0"/>
    <n v="30"/>
    <x v="0"/>
    <n v="20"/>
    <n v="5"/>
    <n v="60"/>
  </r>
  <r>
    <x v="266"/>
    <s v="Carla Rodrigues"/>
    <x v="2"/>
    <d v="2024-11-18T00:00:00"/>
    <x v="1"/>
    <n v="10"/>
    <x v="0"/>
    <x v="1"/>
    <s v="-"/>
    <x v="0"/>
    <n v="20"/>
    <n v="10"/>
    <n v="20"/>
  </r>
  <r>
    <x v="267"/>
    <s v="Diogo Pereira"/>
    <x v="1"/>
    <d v="2024-11-19T00:00:00"/>
    <x v="0"/>
    <n v="5"/>
    <x v="2"/>
    <x v="1"/>
    <s v="-"/>
    <x v="1"/>
    <n v="0"/>
    <n v="0"/>
    <n v="5"/>
  </r>
  <r>
    <x v="268"/>
    <s v="Elisa Correia"/>
    <x v="0"/>
    <d v="2024-11-20T00:00:00"/>
    <x v="1"/>
    <n v="15"/>
    <x v="0"/>
    <x v="0"/>
    <n v="30"/>
    <x v="0"/>
    <n v="20"/>
    <n v="3"/>
    <n v="62"/>
  </r>
  <r>
    <x v="269"/>
    <s v="Fábio Lourenço"/>
    <x v="2"/>
    <d v="2024-11-21T00:00:00"/>
    <x v="0"/>
    <n v="10"/>
    <x v="1"/>
    <x v="1"/>
    <s v="-"/>
    <x v="0"/>
    <n v="20"/>
    <n v="15"/>
    <n v="15"/>
  </r>
  <r>
    <x v="270"/>
    <s v="Gabriela Neves"/>
    <x v="1"/>
    <d v="2024-11-22T00:00:00"/>
    <x v="1"/>
    <n v="5"/>
    <x v="0"/>
    <x v="1"/>
    <s v="-"/>
    <x v="1"/>
    <n v="0"/>
    <n v="1"/>
    <n v="4"/>
  </r>
  <r>
    <x v="271"/>
    <s v="Henrique Gonçalves"/>
    <x v="0"/>
    <d v="2024-11-23T00:00:00"/>
    <x v="0"/>
    <n v="15"/>
    <x v="2"/>
    <x v="0"/>
    <n v="30"/>
    <x v="0"/>
    <n v="20"/>
    <n v="7"/>
    <n v="58"/>
  </r>
  <r>
    <x v="272"/>
    <s v="Íris Santos"/>
    <x v="2"/>
    <d v="2024-11-24T00:00:00"/>
    <x v="1"/>
    <n v="10"/>
    <x v="0"/>
    <x v="1"/>
    <s v="-"/>
    <x v="0"/>
    <n v="20"/>
    <n v="10"/>
    <n v="20"/>
  </r>
  <r>
    <x v="273"/>
    <s v="João Marcelo Alves"/>
    <x v="1"/>
    <d v="2024-11-25T00:00:00"/>
    <x v="0"/>
    <n v="5"/>
    <x v="1"/>
    <x v="1"/>
    <s v="-"/>
    <x v="1"/>
    <n v="0"/>
    <n v="0"/>
    <n v="5"/>
  </r>
  <r>
    <x v="274"/>
    <s v="Klara Fonseca"/>
    <x v="0"/>
    <d v="2024-11-26T00:00:00"/>
    <x v="1"/>
    <n v="15"/>
    <x v="0"/>
    <x v="0"/>
    <n v="30"/>
    <x v="0"/>
    <n v="20"/>
    <n v="20"/>
    <n v="45"/>
  </r>
  <r>
    <x v="275"/>
    <s v="Lucas Mendonça"/>
    <x v="2"/>
    <d v="2024-11-27T00:00:00"/>
    <x v="0"/>
    <n v="10"/>
    <x v="2"/>
    <x v="1"/>
    <s v="-"/>
    <x v="0"/>
    <n v="20"/>
    <n v="15"/>
    <n v="15"/>
  </r>
  <r>
    <x v="276"/>
    <s v="Marcela Torres"/>
    <x v="1"/>
    <d v="2024-11-28T00:00:00"/>
    <x v="1"/>
    <n v="5"/>
    <x v="0"/>
    <x v="1"/>
    <s v="-"/>
    <x v="1"/>
    <n v="0"/>
    <n v="1"/>
    <n v="4"/>
  </r>
  <r>
    <x v="277"/>
    <s v="Natália Castro"/>
    <x v="0"/>
    <d v="2024-11-29T00:00:00"/>
    <x v="0"/>
    <n v="15"/>
    <x v="1"/>
    <x v="0"/>
    <n v="30"/>
    <x v="0"/>
    <n v="20"/>
    <n v="3"/>
    <n v="62"/>
  </r>
  <r>
    <x v="278"/>
    <s v="Oscar Martins"/>
    <x v="2"/>
    <d v="2024-11-30T00:00:00"/>
    <x v="1"/>
    <n v="10"/>
    <x v="0"/>
    <x v="1"/>
    <s v="-"/>
    <x v="0"/>
    <n v="20"/>
    <n v="10"/>
    <n v="20"/>
  </r>
  <r>
    <x v="279"/>
    <s v="Patrícia Oliveira"/>
    <x v="1"/>
    <d v="2024-12-01T00:00:00"/>
    <x v="0"/>
    <n v="5"/>
    <x v="2"/>
    <x v="1"/>
    <s v="-"/>
    <x v="1"/>
    <n v="0"/>
    <n v="0"/>
    <n v="5"/>
  </r>
  <r>
    <x v="280"/>
    <s v="Quentin Nogueira"/>
    <x v="0"/>
    <d v="2024-12-02T00:00:00"/>
    <x v="1"/>
    <n v="15"/>
    <x v="0"/>
    <x v="0"/>
    <n v="30"/>
    <x v="0"/>
    <n v="20"/>
    <n v="15"/>
    <n v="50"/>
  </r>
  <r>
    <x v="281"/>
    <s v="Raquel Silva"/>
    <x v="2"/>
    <d v="2024-12-03T00:00:00"/>
    <x v="0"/>
    <n v="10"/>
    <x v="1"/>
    <x v="1"/>
    <s v="-"/>
    <x v="0"/>
    <n v="20"/>
    <n v="15"/>
    <n v="15"/>
  </r>
  <r>
    <x v="282"/>
    <s v="Sandro Gomes"/>
    <x v="1"/>
    <d v="2024-12-04T00:00:00"/>
    <x v="1"/>
    <n v="5"/>
    <x v="0"/>
    <x v="1"/>
    <s v="-"/>
    <x v="1"/>
    <n v="0"/>
    <n v="1"/>
    <n v="4"/>
  </r>
  <r>
    <x v="283"/>
    <s v="Tânia Machado"/>
    <x v="0"/>
    <d v="2024-12-05T00:00:00"/>
    <x v="0"/>
    <n v="15"/>
    <x v="2"/>
    <x v="0"/>
    <n v="30"/>
    <x v="0"/>
    <n v="20"/>
    <n v="7"/>
    <n v="58"/>
  </r>
  <r>
    <x v="284"/>
    <s v="Ursula Silva"/>
    <x v="2"/>
    <d v="2024-12-06T00:00:00"/>
    <x v="1"/>
    <n v="10"/>
    <x v="0"/>
    <x v="1"/>
    <s v="-"/>
    <x v="0"/>
    <n v="20"/>
    <n v="10"/>
    <n v="20"/>
  </r>
  <r>
    <x v="285"/>
    <s v="Vanessa Moraes"/>
    <x v="1"/>
    <d v="2024-12-07T00:00:00"/>
    <x v="0"/>
    <n v="5"/>
    <x v="1"/>
    <x v="1"/>
    <s v="-"/>
    <x v="1"/>
    <n v="0"/>
    <n v="0"/>
    <n v="5"/>
  </r>
  <r>
    <x v="286"/>
    <s v="William Carvalho"/>
    <x v="0"/>
    <d v="2024-12-08T00:00:00"/>
    <x v="1"/>
    <n v="15"/>
    <x v="0"/>
    <x v="0"/>
    <n v="30"/>
    <x v="0"/>
    <n v="20"/>
    <n v="20"/>
    <n v="45"/>
  </r>
  <r>
    <x v="287"/>
    <s v="Xavier Reis"/>
    <x v="2"/>
    <d v="2024-12-09T00:00:00"/>
    <x v="0"/>
    <n v="10"/>
    <x v="2"/>
    <x v="1"/>
    <s v="-"/>
    <x v="0"/>
    <n v="20"/>
    <n v="12"/>
    <n v="18"/>
  </r>
  <r>
    <x v="288"/>
    <s v="Yasmin Rocha"/>
    <x v="1"/>
    <d v="2024-12-10T00:00:00"/>
    <x v="1"/>
    <n v="5"/>
    <x v="0"/>
    <x v="1"/>
    <s v="-"/>
    <x v="1"/>
    <n v="0"/>
    <n v="2"/>
    <n v="3"/>
  </r>
  <r>
    <x v="289"/>
    <s v="Zacarias Duarte"/>
    <x v="0"/>
    <d v="2024-12-11T00:00:00"/>
    <x v="0"/>
    <n v="15"/>
    <x v="1"/>
    <x v="0"/>
    <n v="30"/>
    <x v="0"/>
    <n v="20"/>
    <n v="5"/>
    <n v="60"/>
  </r>
  <r>
    <x v="290"/>
    <s v="Amanda Freitas"/>
    <x v="2"/>
    <d v="2024-12-12T00:00:00"/>
    <x v="1"/>
    <n v="10"/>
    <x v="0"/>
    <x v="1"/>
    <s v="-"/>
    <x v="0"/>
    <n v="20"/>
    <n v="10"/>
    <n v="20"/>
  </r>
  <r>
    <x v="291"/>
    <s v="Bruno Almeida"/>
    <x v="1"/>
    <d v="2024-12-13T00:00:00"/>
    <x v="0"/>
    <n v="5"/>
    <x v="2"/>
    <x v="1"/>
    <s v="-"/>
    <x v="1"/>
    <n v="0"/>
    <n v="0"/>
    <n v="5"/>
  </r>
  <r>
    <x v="292"/>
    <s v="Carla Siqueira"/>
    <x v="0"/>
    <d v="2024-12-14T00:00:00"/>
    <x v="1"/>
    <n v="15"/>
    <x v="0"/>
    <x v="0"/>
    <n v="30"/>
    <x v="0"/>
    <n v="20"/>
    <n v="3"/>
    <n v="62"/>
  </r>
  <r>
    <x v="293"/>
    <s v="Diogo Ramos"/>
    <x v="2"/>
    <d v="2024-12-15T00:00:00"/>
    <x v="0"/>
    <n v="10"/>
    <x v="1"/>
    <x v="1"/>
    <s v="-"/>
    <x v="0"/>
    <n v="20"/>
    <n v="15"/>
    <n v="15"/>
  </r>
  <r>
    <x v="294"/>
    <s v="Elisa Magalhães"/>
    <x v="1"/>
    <d v="2024-12-16T00:00:00"/>
    <x v="1"/>
    <n v="5"/>
    <x v="0"/>
    <x v="1"/>
    <s v="-"/>
    <x v="1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B798CA-735A-4B46-983E-4727ED1E6844}" name="TD_Minecraft_Nova" cacheId="16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B34:D37" firstHeaderRow="0" firstDataRow="1" firstDataCol="1" rowPageCount="2" colPageCount="1"/>
  <pivotFields count="13">
    <pivotField dataField="1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axis="axisPage" showAll="0">
      <items count="3">
        <item x="1"/>
        <item x="0"/>
        <item t="default"/>
      </items>
    </pivotField>
    <pivotField dataField="1" numFmtId="44" showAll="0"/>
    <pivotField numFmtId="44" showAll="0"/>
    <pivotField numFmtId="44" showAll="0"/>
  </pivotFields>
  <rowFields count="1">
    <field x="2"/>
  </rowFields>
  <rowItems count="3"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6" hier="-1"/>
    <pageField fld="9" item="1" hier="-1"/>
  </pageFields>
  <dataFields count="2">
    <dataField name="Receita Minecraft" fld="10" baseField="2" baseItem="1" numFmtId="44"/>
    <dataField name="Qtd. Assinaturas" fld="0" subtotal="count" baseField="2" baseItem="1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6C1DC-16D9-451F-8EB9-07C7E9ED5B64}" name="TD_EAPlay_Nova" cacheId="16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B25:D27" firstHeaderRow="0" firstDataRow="1" firstDataCol="1" rowPageCount="2" colPageCount="1"/>
  <pivotFields count="13">
    <pivotField dataField="1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axis="axisPage" showAll="0">
      <items count="3">
        <item x="1"/>
        <item x="0"/>
        <item t="default"/>
      </items>
    </pivotField>
    <pivotField dataField="1" showAll="0"/>
    <pivotField showAll="0"/>
    <pivotField numFmtId="44" showAll="0"/>
    <pivotField numFmtId="44" showAll="0"/>
    <pivotField numFmtId="44" showAll="0"/>
  </pivotFields>
  <rowFields count="1">
    <field x="2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6" hier="-1"/>
    <pageField fld="7" item="1" hier="-1"/>
  </pageFields>
  <dataFields count="2">
    <dataField name="Receita EA Play" fld="8" baseField="2" baseItem="2"/>
    <dataField name="Qtd. Assinaturas" fld="0" subtotal="count" baseField="2" baseItem="2"/>
  </dataFields>
  <formats count="2">
    <format dxfId="0">
      <pivotArea collapsedLevelsAreSubtotals="1" fieldPosition="0">
        <references count="2">
          <reference field="4294967294" count="1" selected="0">
            <x v="0"/>
          </reference>
          <reference field="2" count="0"/>
        </references>
      </pivotArea>
    </format>
    <format dxfId="1">
      <pivotArea field="2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783206-E34E-4877-92A2-C11AA941A800}" name="TD_Receita_Renovacao_Nova" cacheId="16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7">
  <location ref="B15:C18" firstHeaderRow="1" firstDataRow="1" firstDataCol="1" rowPageCount="1" colPageCount="1"/>
  <pivotFields count="13">
    <pivotField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1"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379650-534A-49EE-B270-2764AE6632B4}" name="TD_Receita_Modalidade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F43:G47" firstHeaderRow="1" firstDataRow="1" firstDataCol="1" rowPageCount="1" colPageCount="1"/>
  <pivotFields count="13">
    <pivotField showAll="0"/>
    <pivotField showAll="0"/>
    <pivotField axis="axisPage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Row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6"/>
  </rowFields>
  <rowItems count="4">
    <i>
      <x v="1"/>
    </i>
    <i>
      <x v="2"/>
    </i>
    <i>
      <x/>
    </i>
    <i t="grand">
      <x/>
    </i>
  </rowItems>
  <colItems count="1">
    <i/>
  </colItems>
  <pageFields count="1">
    <pageField fld="2" hier="-1"/>
  </pageFields>
  <dataFields count="1">
    <dataField name="Receita por Modalidade" fld="12" baseField="6" baseItem="0" numFmtId="44"/>
  </dataFields>
  <chartFormats count="1"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378F3-0B9D-440A-B718-C97253A4D242}" name="TD_Receita_Plano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F33:G37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Receita por Plano" fld="12" baseField="2" baseItem="0" numFmtId="44"/>
  </dataFields>
  <chartFormats count="2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AFEAFB-9D8D-47D0-8146-9C47C40C8F46}" name="TD_Taxa_Renovacao" cacheId="16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F24:H27" firstHeaderRow="0" firstDataRow="1" firstDataCol="1" rowPageCount="1" colPageCount="1"/>
  <pivotFields count="13">
    <pivotField dataField="1"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Qtd. Assinaturas" fld="6" subtotal="count" baseField="4" baseItem="0"/>
    <dataField name="% Renovação" fld="0" subtotal="count" showDataAs="percentOfTotal" baseField="4" baseItem="0" numFmtId="10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6B078E-BBE4-4AB0-83D5-90F0E8989E40}" name="TD_Ticket_Medio" cacheId="16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F14:G18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Ticket Médio" fld="12" subtotal="average" baseField="2" baseItem="0" numFmtId="44"/>
  </dataField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2FFFC6-7CA5-453A-A2E3-13F6B91393F2}" name="TD_Assinaturas" cacheId="16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1">
  <location ref="B43:C47" firstHeaderRow="1" firstDataRow="1" firstDataCol="1" rowPageCount="1" colPageCount="1"/>
  <pivotFields count="13">
    <pivotField dataField="1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Qtd. Assinaturas" fld="0" subtotal="count" baseField="2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1"/>
  <rel r:id="rId1"/>
  <rel r:id="rId1"/>
  <rel r:id="rId1"/>
  <rel r:id="rId1"/>
</richValueRel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77C28CD0-F16B-4BCE-B85C-AAC564E06306}" sourceName="Subscription Type">
  <pivotTables>
    <pivotTable tabId="2" name="TD_Assinaturas"/>
    <pivotTable tabId="2" name="TD_Receita_Modalidade"/>
    <pivotTable tabId="2" name="TD_Receita_Plano"/>
    <pivotTable tabId="2" name="TD_Taxa_Renovacao"/>
    <pivotTable tabId="2" name="TD_Ticket_Medio"/>
    <pivotTable tabId="2" name="TD_Receita_Renovacao_Nova"/>
    <pivotTable tabId="2" name="TD_EAPlay_Nova"/>
    <pivotTable tabId="2" name="TD_Minecraft_Nova"/>
  </pivotTables>
  <data>
    <tabular pivotCacheId="405489539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" xr10:uid="{625E6201-E546-40CD-8E01-A96C05881B52}" cache="SegmentaçãodeDados_Subscription_Type" caption="FILTRAR MODALIDADE" columnCount="3" rowHeight="288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 1" xr10:uid="{931621DC-8F33-4BC4-B511-EDE60382FF26}" cache="SegmentaçãodeDados_Subscription_Type" caption="FILTRAR MODALIDADE" columnCount="3" rowHeight="2880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 2" xr10:uid="{8942D51E-EAC8-4D81-8285-88A741B27A5A}" cache="SegmentaçãodeDados_Subscription_Type" caption="FILTRAR MODALIDADE" columnCount="3" rowHeight="2880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Xbox Sales Intelligence — Filtros 3" xr10:uid="{52CD611B-3F50-4C43-BC35-0FB5EADEBBC5}" cache="SegmentaçãodeDados_Subscription_Type" caption="FILTRAR MODALIDADE" columnCount="3" rowHeight="288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C45A0-650F-4BFD-9964-78A8E6334178}" name="Tabela1" displayName="Tabela1" ref="A1:M296" totalsRowShown="0" dataDxfId="21">
  <autoFilter ref="A1:M296" xr:uid="{34E0E886-4200-4B36-97B3-63DB74FF40A0}"/>
  <tableColumns count="13">
    <tableColumn id="1" xr3:uid="{A4602DD8-2136-421E-A7E6-554036D6B7C5}" name="Subscriber ID" dataDxfId="20"/>
    <tableColumn id="2" xr3:uid="{F8580613-3326-4FBF-BAA8-45C1E3CD8526}" name="Name" dataDxfId="19"/>
    <tableColumn id="3" xr3:uid="{A66950B2-A647-44AC-97D3-C47A5D63E5CB}" name="Plan" dataDxfId="18"/>
    <tableColumn id="4" xr3:uid="{B38D792C-F5B6-4E9B-880A-4E78C705CE99}" name="Start Date" dataDxfId="17"/>
    <tableColumn id="5" xr3:uid="{DF87C84F-9359-457D-B41E-31E16EEBDE64}" name="Auto Renewal" dataDxfId="16"/>
    <tableColumn id="6" xr3:uid="{394BA83A-8A9E-4619-85BC-6AC30E379A8D}" name="Subscription Price" dataDxfId="15" dataCellStyle="Moeda"/>
    <tableColumn id="7" xr3:uid="{1159F3C3-7727-40A0-B1D3-7D8B24E1CDE7}" name="Subscription Type" dataDxfId="14"/>
    <tableColumn id="8" xr3:uid="{0529E9F7-1631-44A8-8C6F-B2CFF659BB55}" name="EA Play Season Pass" dataDxfId="13"/>
    <tableColumn id="13" xr3:uid="{6DD940BB-55A4-4F5D-8295-33800B691292}" name="EA Play Season Pass_x000a_Price" dataDxfId="12" dataCellStyle="Moeda"/>
    <tableColumn id="9" xr3:uid="{529BD042-13DE-4C96-92C3-CCEFFE3F02E4}" name="Minecraft Season Pass" dataDxfId="11"/>
    <tableColumn id="10" xr3:uid="{F33247A2-4505-4703-9B10-C59879D93630}" name="Minecraft Season Pass Price" dataDxfId="10" dataCellStyle="Moeda"/>
    <tableColumn id="11" xr3:uid="{4CFD6CE5-FB1F-48E7-B323-74084FB81071}" name="Coupon Value" dataDxfId="9" dataCellStyle="Moeda"/>
    <tableColumn id="12" xr3:uid="{5609A8C5-8CD5-40CB-8CD4-2622036AEA44}" name="Total Value" dataDxfId="8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6D248-6292-49A4-8D76-07F50878849E}">
  <sheetPr>
    <tabColor rgb="FF107C10"/>
  </sheetPr>
  <dimension ref="A1:T136"/>
  <sheetViews>
    <sheetView showGridLines="0" showRowColHeaders="0" tabSelected="1" zoomScale="75" zoomScaleNormal="75" workbookViewId="0">
      <selection activeCell="A63" sqref="A6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1" customWidth="1"/>
    <col min="2" max="2" width="3.54296875" customWidth="1"/>
    <col min="3" max="11" width="8.7265625" customWidth="1"/>
    <col min="12" max="12" width="6.54296875" customWidth="1"/>
    <col min="13" max="21" width="8.7265625" customWidth="1"/>
    <col min="22" max="16384" width="8.7265625" hidden="1"/>
  </cols>
  <sheetData>
    <row r="1" spans="1:20" s="28" customFormat="1" x14ac:dyDescent="0.35">
      <c r="A1" s="1"/>
    </row>
    <row r="2" spans="1:20" s="28" customFormat="1" ht="27.75" customHeight="1" thickBot="1" x14ac:dyDescent="0.65">
      <c r="A2" s="1"/>
      <c r="C2" s="34" t="s">
        <v>356</v>
      </c>
      <c r="D2" s="34"/>
      <c r="E2" s="34"/>
      <c r="F2" s="34"/>
      <c r="G2" s="34"/>
      <c r="H2" s="34"/>
      <c r="I2" s="34"/>
      <c r="J2" s="31"/>
      <c r="K2" s="31"/>
      <c r="L2" s="31"/>
      <c r="M2" s="31"/>
      <c r="N2" s="31"/>
      <c r="O2" s="31"/>
      <c r="P2" s="31"/>
      <c r="Q2" s="31"/>
      <c r="R2" s="32"/>
      <c r="S2" s="31"/>
      <c r="T2" s="31"/>
    </row>
    <row r="3" spans="1:20" s="28" customFormat="1" ht="24.5" customHeight="1" thickTop="1" x14ac:dyDescent="0.35">
      <c r="A3" s="1"/>
      <c r="C3" s="38" t="s">
        <v>357</v>
      </c>
      <c r="D3" s="38"/>
      <c r="E3" s="38"/>
      <c r="F3" s="38"/>
      <c r="G3" s="38"/>
      <c r="H3" s="38"/>
      <c r="I3" s="38"/>
      <c r="J3" s="33"/>
      <c r="K3" s="33"/>
      <c r="L3" s="33"/>
      <c r="M3" s="33"/>
      <c r="N3" s="33"/>
      <c r="O3" s="33"/>
      <c r="P3" s="33"/>
      <c r="Q3" s="33"/>
      <c r="R3" s="33"/>
      <c r="S3" s="33"/>
    </row>
    <row r="4" spans="1:20" s="2" customFormat="1" ht="8.25" customHeight="1" x14ac:dyDescent="0.35">
      <c r="A4" s="1"/>
    </row>
    <row r="5" spans="1:20" s="2" customFormat="1" ht="7.5" customHeight="1" x14ac:dyDescent="0.35">
      <c r="A5" s="1"/>
    </row>
    <row r="6" spans="1:20" s="2" customFormat="1" ht="10.5" customHeight="1" x14ac:dyDescent="0.35">
      <c r="A6" s="1"/>
    </row>
    <row r="7" spans="1:20" s="2" customFormat="1" ht="9.75" customHeight="1" x14ac:dyDescent="0.35">
      <c r="A7" s="1"/>
    </row>
    <row r="8" spans="1:20" s="2" customFormat="1" ht="11.25" customHeight="1" x14ac:dyDescent="0.35">
      <c r="A8" s="1"/>
    </row>
    <row r="9" spans="1:20" s="2" customFormat="1" x14ac:dyDescent="0.35">
      <c r="A9" s="1"/>
    </row>
    <row r="10" spans="1:20" s="2" customFormat="1" x14ac:dyDescent="0.35">
      <c r="A10" s="1"/>
    </row>
    <row r="11" spans="1:20" s="2" customFormat="1" ht="14.25" customHeight="1" x14ac:dyDescent="0.35">
      <c r="A11" s="35" t="s">
        <v>358</v>
      </c>
    </row>
    <row r="12" spans="1:20" s="2" customFormat="1" x14ac:dyDescent="0.35">
      <c r="A12" s="1"/>
    </row>
    <row r="13" spans="1:20" s="2" customFormat="1" x14ac:dyDescent="0.35">
      <c r="A13" s="1"/>
    </row>
    <row r="14" spans="1:20" s="2" customFormat="1" x14ac:dyDescent="0.35">
      <c r="A14" s="1"/>
    </row>
    <row r="15" spans="1:20" s="2" customFormat="1" x14ac:dyDescent="0.35">
      <c r="A15" s="1"/>
    </row>
    <row r="16" spans="1:20" s="2" customFormat="1" x14ac:dyDescent="0.35">
      <c r="A16" s="1"/>
    </row>
    <row r="17" spans="1:10" s="2" customFormat="1" x14ac:dyDescent="0.35">
      <c r="A17" s="1"/>
    </row>
    <row r="18" spans="1:10" s="2" customFormat="1" x14ac:dyDescent="0.35">
      <c r="A18" s="1"/>
    </row>
    <row r="19" spans="1:10" s="2" customFormat="1" x14ac:dyDescent="0.35">
      <c r="A19" s="1"/>
    </row>
    <row r="20" spans="1:10" s="2" customFormat="1" x14ac:dyDescent="0.35">
      <c r="A20" s="1"/>
    </row>
    <row r="21" spans="1:10" s="2" customFormat="1" x14ac:dyDescent="0.35">
      <c r="A21" s="1"/>
    </row>
    <row r="22" spans="1:10" s="2" customFormat="1" x14ac:dyDescent="0.35">
      <c r="A22" s="1"/>
    </row>
    <row r="23" spans="1:10" s="2" customFormat="1" x14ac:dyDescent="0.35">
      <c r="A23" s="1"/>
    </row>
    <row r="24" spans="1:10" s="2" customFormat="1" x14ac:dyDescent="0.35">
      <c r="A24" s="1"/>
    </row>
    <row r="25" spans="1:10" s="2" customFormat="1" x14ac:dyDescent="0.35">
      <c r="A25" s="1"/>
      <c r="I25" s="2" t="e" vm="1">
        <v>#VALUE!</v>
      </c>
    </row>
    <row r="26" spans="1:10" s="2" customFormat="1" x14ac:dyDescent="0.35">
      <c r="A26" s="1"/>
      <c r="I26" s="2" t="e" vm="2">
        <v>#VALUE!</v>
      </c>
      <c r="J26" s="2" t="e" vm="3">
        <v>#VALUE!</v>
      </c>
    </row>
    <row r="27" spans="1:10" s="2" customFormat="1" x14ac:dyDescent="0.35">
      <c r="A27" s="1"/>
      <c r="I27" s="2" t="e" vm="4">
        <v>#VALUE!</v>
      </c>
    </row>
    <row r="28" spans="1:10" s="2" customFormat="1" x14ac:dyDescent="0.35">
      <c r="A28" s="1"/>
      <c r="I28" s="2" t="e" vm="5">
        <v>#VALUE!</v>
      </c>
    </row>
    <row r="29" spans="1:10" s="2" customFormat="1" x14ac:dyDescent="0.35">
      <c r="A29" s="1"/>
      <c r="I29" s="2" t="e" vm="6">
        <v>#VALUE!</v>
      </c>
    </row>
    <row r="30" spans="1:10" s="2" customFormat="1" x14ac:dyDescent="0.35">
      <c r="A30" s="1"/>
    </row>
    <row r="31" spans="1:10" s="2" customFormat="1" x14ac:dyDescent="0.35">
      <c r="A31" s="1"/>
    </row>
    <row r="32" spans="1:10" s="2" customFormat="1" x14ac:dyDescent="0.35">
      <c r="A32" s="1"/>
    </row>
    <row r="33" spans="1:1" s="2" customFormat="1" x14ac:dyDescent="0.35">
      <c r="A33" s="1"/>
    </row>
    <row r="34" spans="1:1" s="2" customFormat="1" x14ac:dyDescent="0.35">
      <c r="A34" s="1"/>
    </row>
    <row r="35" spans="1:1" s="2" customFormat="1" x14ac:dyDescent="0.35">
      <c r="A35" s="1"/>
    </row>
    <row r="36" spans="1:1" s="2" customFormat="1" x14ac:dyDescent="0.35">
      <c r="A36" s="1"/>
    </row>
    <row r="37" spans="1:1" s="2" customFormat="1" x14ac:dyDescent="0.35">
      <c r="A37" s="1"/>
    </row>
    <row r="38" spans="1:1" s="2" customFormat="1" x14ac:dyDescent="0.35">
      <c r="A38" s="1"/>
    </row>
    <row r="39" spans="1:1" s="2" customFormat="1" x14ac:dyDescent="0.35">
      <c r="A39" s="1"/>
    </row>
    <row r="40" spans="1:1" s="2" customFormat="1" x14ac:dyDescent="0.35">
      <c r="A40" s="1"/>
    </row>
    <row r="41" spans="1:1" s="2" customFormat="1" x14ac:dyDescent="0.35">
      <c r="A41" s="1"/>
    </row>
    <row r="42" spans="1:1" s="2" customFormat="1" x14ac:dyDescent="0.35">
      <c r="A42" s="1"/>
    </row>
    <row r="43" spans="1:1" s="2" customFormat="1" x14ac:dyDescent="0.35">
      <c r="A43" s="1"/>
    </row>
    <row r="44" spans="1:1" s="2" customFormat="1" x14ac:dyDescent="0.35">
      <c r="A44" s="1"/>
    </row>
    <row r="45" spans="1:1" s="2" customFormat="1" x14ac:dyDescent="0.35">
      <c r="A45" s="1"/>
    </row>
    <row r="46" spans="1:1" s="2" customFormat="1" x14ac:dyDescent="0.35">
      <c r="A46" s="1"/>
    </row>
    <row r="47" spans="1:1" s="2" customFormat="1" x14ac:dyDescent="0.35">
      <c r="A47" s="1"/>
    </row>
    <row r="48" spans="1:1" s="2" customFormat="1" x14ac:dyDescent="0.35">
      <c r="A48" s="1"/>
    </row>
    <row r="49" spans="1:1" s="2" customFormat="1" x14ac:dyDescent="0.35">
      <c r="A49" s="1"/>
    </row>
    <row r="50" spans="1:1" s="2" customFormat="1" x14ac:dyDescent="0.35">
      <c r="A50" s="1"/>
    </row>
    <row r="51" spans="1:1" s="2" customFormat="1" x14ac:dyDescent="0.35">
      <c r="A51" s="1"/>
    </row>
    <row r="52" spans="1:1" s="2" customFormat="1" x14ac:dyDescent="0.35">
      <c r="A52" s="1"/>
    </row>
    <row r="53" spans="1:1" s="2" customFormat="1" x14ac:dyDescent="0.35">
      <c r="A53" s="1"/>
    </row>
    <row r="54" spans="1:1" s="2" customFormat="1" x14ac:dyDescent="0.35">
      <c r="A54" s="1"/>
    </row>
    <row r="55" spans="1:1" s="2" customFormat="1" x14ac:dyDescent="0.35">
      <c r="A55" s="1"/>
    </row>
    <row r="56" spans="1:1" s="2" customFormat="1" x14ac:dyDescent="0.35">
      <c r="A56" s="1"/>
    </row>
    <row r="57" spans="1:1" s="2" customFormat="1" x14ac:dyDescent="0.35">
      <c r="A57" s="1"/>
    </row>
    <row r="58" spans="1:1" s="2" customFormat="1" x14ac:dyDescent="0.35">
      <c r="A58" s="1"/>
    </row>
    <row r="59" spans="1:1" s="2" customFormat="1" x14ac:dyDescent="0.35">
      <c r="A59" s="1"/>
    </row>
    <row r="60" spans="1:1" s="2" customFormat="1" x14ac:dyDescent="0.35">
      <c r="A60" s="1"/>
    </row>
    <row r="61" spans="1:1" s="2" customFormat="1" x14ac:dyDescent="0.35">
      <c r="A61" s="1"/>
    </row>
    <row r="62" spans="1:1" s="2" customFormat="1" x14ac:dyDescent="0.35">
      <c r="A62" s="1"/>
    </row>
    <row r="63" spans="1:1" s="2" customFormat="1" x14ac:dyDescent="0.35">
      <c r="A63" s="1"/>
    </row>
    <row r="64" spans="1:1" s="2" customFormat="1" hidden="1" x14ac:dyDescent="0.35">
      <c r="A64" s="1"/>
    </row>
    <row r="65" spans="1:1" s="2" customFormat="1" hidden="1" x14ac:dyDescent="0.35">
      <c r="A65" s="1"/>
    </row>
    <row r="66" spans="1:1" s="2" customFormat="1" hidden="1" x14ac:dyDescent="0.35">
      <c r="A66" s="1"/>
    </row>
    <row r="67" spans="1:1" s="2" customFormat="1" hidden="1" x14ac:dyDescent="0.35">
      <c r="A67" s="1"/>
    </row>
    <row r="68" spans="1:1" s="2" customFormat="1" hidden="1" x14ac:dyDescent="0.35">
      <c r="A68" s="1"/>
    </row>
    <row r="69" spans="1:1" s="2" customFormat="1" hidden="1" x14ac:dyDescent="0.35">
      <c r="A69" s="1"/>
    </row>
    <row r="70" spans="1:1" s="2" customFormat="1" hidden="1" x14ac:dyDescent="0.35">
      <c r="A70" s="1"/>
    </row>
    <row r="71" spans="1:1" s="2" customFormat="1" hidden="1" x14ac:dyDescent="0.35">
      <c r="A71" s="1"/>
    </row>
    <row r="72" spans="1:1" s="2" customFormat="1" hidden="1" x14ac:dyDescent="0.35">
      <c r="A72" s="1"/>
    </row>
    <row r="73" spans="1:1" s="2" customFormat="1" hidden="1" x14ac:dyDescent="0.35">
      <c r="A73" s="1"/>
    </row>
    <row r="74" spans="1:1" s="2" customFormat="1" hidden="1" x14ac:dyDescent="0.35">
      <c r="A74" s="1"/>
    </row>
    <row r="75" spans="1:1" s="2" customFormat="1" hidden="1" x14ac:dyDescent="0.35">
      <c r="A75" s="1"/>
    </row>
    <row r="76" spans="1:1" s="2" customFormat="1" hidden="1" x14ac:dyDescent="0.35">
      <c r="A76" s="1"/>
    </row>
    <row r="77" spans="1:1" s="2" customFormat="1" hidden="1" x14ac:dyDescent="0.35">
      <c r="A77" s="1"/>
    </row>
    <row r="78" spans="1:1" s="2" customFormat="1" hidden="1" x14ac:dyDescent="0.35">
      <c r="A78" s="1"/>
    </row>
    <row r="79" spans="1:1" s="2" customFormat="1" hidden="1" x14ac:dyDescent="0.35">
      <c r="A79" s="1"/>
    </row>
    <row r="80" spans="1:1" s="2" customFormat="1" hidden="1" x14ac:dyDescent="0.35">
      <c r="A80" s="1"/>
    </row>
    <row r="81" spans="1:1" s="2" customFormat="1" hidden="1" x14ac:dyDescent="0.35">
      <c r="A81" s="1"/>
    </row>
    <row r="82" spans="1:1" s="2" customFormat="1" hidden="1" x14ac:dyDescent="0.35">
      <c r="A82" s="1"/>
    </row>
    <row r="83" spans="1:1" s="2" customFormat="1" hidden="1" x14ac:dyDescent="0.35">
      <c r="A83" s="1"/>
    </row>
    <row r="84" spans="1:1" s="2" customFormat="1" hidden="1" x14ac:dyDescent="0.35">
      <c r="A84" s="1"/>
    </row>
    <row r="85" spans="1:1" s="2" customFormat="1" hidden="1" x14ac:dyDescent="0.35">
      <c r="A85" s="1"/>
    </row>
    <row r="86" spans="1:1" s="2" customFormat="1" hidden="1" x14ac:dyDescent="0.35">
      <c r="A86" s="1"/>
    </row>
    <row r="87" spans="1:1" s="2" customFormat="1" hidden="1" x14ac:dyDescent="0.35">
      <c r="A87" s="1"/>
    </row>
    <row r="88" spans="1:1" s="2" customFormat="1" hidden="1" x14ac:dyDescent="0.35">
      <c r="A88" s="1"/>
    </row>
    <row r="89" spans="1:1" s="2" customFormat="1" hidden="1" x14ac:dyDescent="0.35">
      <c r="A89" s="1"/>
    </row>
    <row r="90" spans="1:1" s="2" customFormat="1" hidden="1" x14ac:dyDescent="0.35">
      <c r="A90" s="1"/>
    </row>
    <row r="91" spans="1:1" s="2" customFormat="1" hidden="1" x14ac:dyDescent="0.35">
      <c r="A91" s="1"/>
    </row>
    <row r="92" spans="1:1" s="2" customFormat="1" hidden="1" x14ac:dyDescent="0.35">
      <c r="A92" s="1"/>
    </row>
    <row r="93" spans="1:1" s="2" customFormat="1" hidden="1" x14ac:dyDescent="0.35">
      <c r="A93" s="1"/>
    </row>
    <row r="94" spans="1:1" s="2" customFormat="1" hidden="1" x14ac:dyDescent="0.35">
      <c r="A94" s="1"/>
    </row>
    <row r="95" spans="1:1" s="2" customFormat="1" hidden="1" x14ac:dyDescent="0.35">
      <c r="A95" s="1"/>
    </row>
    <row r="96" spans="1:1" s="2" customFormat="1" hidden="1" x14ac:dyDescent="0.35">
      <c r="A96" s="1"/>
    </row>
    <row r="97" spans="1:1" s="2" customFormat="1" hidden="1" x14ac:dyDescent="0.35">
      <c r="A97" s="1"/>
    </row>
    <row r="98" spans="1:1" s="2" customFormat="1" hidden="1" x14ac:dyDescent="0.35">
      <c r="A98" s="1"/>
    </row>
    <row r="99" spans="1:1" s="2" customFormat="1" hidden="1" x14ac:dyDescent="0.35">
      <c r="A99" s="1"/>
    </row>
    <row r="100" spans="1:1" s="2" customFormat="1" hidden="1" x14ac:dyDescent="0.35">
      <c r="A100" s="1"/>
    </row>
    <row r="101" spans="1:1" s="2" customFormat="1" hidden="1" x14ac:dyDescent="0.35">
      <c r="A101" s="1"/>
    </row>
    <row r="102" spans="1:1" s="2" customFormat="1" hidden="1" x14ac:dyDescent="0.35">
      <c r="A102" s="1"/>
    </row>
    <row r="103" spans="1:1" s="2" customFormat="1" hidden="1" x14ac:dyDescent="0.35">
      <c r="A103" s="1"/>
    </row>
    <row r="104" spans="1:1" s="2" customFormat="1" hidden="1" x14ac:dyDescent="0.35">
      <c r="A104" s="1"/>
    </row>
    <row r="105" spans="1:1" s="2" customFormat="1" hidden="1" x14ac:dyDescent="0.35">
      <c r="A105" s="1"/>
    </row>
    <row r="106" spans="1:1" s="2" customFormat="1" hidden="1" x14ac:dyDescent="0.35">
      <c r="A106" s="1"/>
    </row>
    <row r="107" spans="1:1" s="2" customFormat="1" hidden="1" x14ac:dyDescent="0.35">
      <c r="A107" s="1"/>
    </row>
    <row r="108" spans="1:1" s="2" customFormat="1" hidden="1" x14ac:dyDescent="0.35">
      <c r="A108" s="1"/>
    </row>
    <row r="109" spans="1:1" s="2" customFormat="1" hidden="1" x14ac:dyDescent="0.35">
      <c r="A109" s="1"/>
    </row>
    <row r="110" spans="1:1" s="2" customFormat="1" hidden="1" x14ac:dyDescent="0.35">
      <c r="A110" s="1"/>
    </row>
    <row r="111" spans="1:1" s="2" customFormat="1" hidden="1" x14ac:dyDescent="0.35">
      <c r="A111" s="1"/>
    </row>
    <row r="112" spans="1:1" s="2" customFormat="1" hidden="1" x14ac:dyDescent="0.35">
      <c r="A112" s="1"/>
    </row>
    <row r="113" spans="1:1" s="2" customFormat="1" hidden="1" x14ac:dyDescent="0.35">
      <c r="A113" s="1"/>
    </row>
    <row r="114" spans="1:1" s="2" customFormat="1" hidden="1" x14ac:dyDescent="0.35">
      <c r="A114" s="1"/>
    </row>
    <row r="115" spans="1:1" s="2" customFormat="1" hidden="1" x14ac:dyDescent="0.35">
      <c r="A115" s="1"/>
    </row>
    <row r="116" spans="1:1" s="2" customFormat="1" hidden="1" x14ac:dyDescent="0.35">
      <c r="A116" s="1"/>
    </row>
    <row r="117" spans="1:1" s="2" customFormat="1" hidden="1" x14ac:dyDescent="0.35">
      <c r="A117" s="1"/>
    </row>
    <row r="118" spans="1:1" s="2" customFormat="1" hidden="1" x14ac:dyDescent="0.35">
      <c r="A118" s="1"/>
    </row>
    <row r="119" spans="1:1" s="2" customFormat="1" hidden="1" x14ac:dyDescent="0.35">
      <c r="A119" s="1"/>
    </row>
    <row r="120" spans="1:1" s="2" customFormat="1" hidden="1" x14ac:dyDescent="0.35">
      <c r="A120" s="1"/>
    </row>
    <row r="121" spans="1:1" s="2" customFormat="1" hidden="1" x14ac:dyDescent="0.35">
      <c r="A121" s="1"/>
    </row>
    <row r="122" spans="1:1" s="2" customFormat="1" hidden="1" x14ac:dyDescent="0.35">
      <c r="A122" s="1"/>
    </row>
    <row r="123" spans="1:1" s="2" customFormat="1" hidden="1" x14ac:dyDescent="0.35">
      <c r="A123" s="1"/>
    </row>
    <row r="124" spans="1:1" s="2" customFormat="1" hidden="1" x14ac:dyDescent="0.35">
      <c r="A124" s="1"/>
    </row>
    <row r="125" spans="1:1" s="2" customFormat="1" hidden="1" x14ac:dyDescent="0.35">
      <c r="A125" s="1"/>
    </row>
    <row r="126" spans="1:1" s="2" customFormat="1" hidden="1" x14ac:dyDescent="0.35">
      <c r="A126" s="1"/>
    </row>
    <row r="127" spans="1:1" s="2" customFormat="1" hidden="1" x14ac:dyDescent="0.35">
      <c r="A127" s="1"/>
    </row>
    <row r="128" spans="1:1" s="2" customFormat="1" hidden="1" x14ac:dyDescent="0.35">
      <c r="A128" s="1"/>
    </row>
    <row r="129" spans="1:1" s="2" customFormat="1" hidden="1" x14ac:dyDescent="0.35">
      <c r="A129" s="1"/>
    </row>
    <row r="130" spans="1:1" s="2" customFormat="1" hidden="1" x14ac:dyDescent="0.35">
      <c r="A130" s="1"/>
    </row>
    <row r="131" spans="1:1" s="2" customFormat="1" hidden="1" x14ac:dyDescent="0.35">
      <c r="A131" s="1"/>
    </row>
    <row r="132" spans="1:1" s="2" customFormat="1" hidden="1" x14ac:dyDescent="0.35">
      <c r="A132" s="1"/>
    </row>
    <row r="133" spans="1:1" s="2" customFormat="1" hidden="1" x14ac:dyDescent="0.35">
      <c r="A133" s="1"/>
    </row>
    <row r="134" spans="1:1" s="2" customFormat="1" hidden="1" x14ac:dyDescent="0.35">
      <c r="A134" s="1"/>
    </row>
    <row r="135" spans="1:1" s="2" customFormat="1" hidden="1" x14ac:dyDescent="0.35">
      <c r="A135" s="1"/>
    </row>
    <row r="136" spans="1:1" s="2" customFormat="1" hidden="1" x14ac:dyDescent="0.35">
      <c r="A136" s="1"/>
    </row>
  </sheetData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0842-6428-47AD-B9DA-286FC3EB48D1}">
  <sheetPr>
    <tabColor rgb="FF107C10"/>
  </sheetPr>
  <dimension ref="A1:T136"/>
  <sheetViews>
    <sheetView showGridLines="0" showRowColHeaders="0" zoomScale="75" zoomScaleNormal="75" workbookViewId="0">
      <selection activeCell="A63" sqref="A6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1" customWidth="1"/>
    <col min="2" max="2" width="3.54296875" customWidth="1"/>
    <col min="3" max="11" width="8.7265625" customWidth="1"/>
    <col min="12" max="12" width="6.54296875" customWidth="1"/>
    <col min="13" max="21" width="8.7265625" customWidth="1"/>
    <col min="22" max="16384" width="8.7265625" hidden="1"/>
  </cols>
  <sheetData>
    <row r="1" spans="1:20" s="28" customFormat="1" x14ac:dyDescent="0.35">
      <c r="A1" s="1"/>
    </row>
    <row r="2" spans="1:20" s="28" customFormat="1" ht="27.75" customHeight="1" thickBot="1" x14ac:dyDescent="0.65">
      <c r="A2" s="1"/>
      <c r="C2" s="34" t="s">
        <v>356</v>
      </c>
      <c r="D2" s="34"/>
      <c r="E2" s="34"/>
      <c r="F2" s="34"/>
      <c r="G2" s="34"/>
      <c r="H2" s="34"/>
      <c r="I2" s="34"/>
      <c r="J2" s="31"/>
      <c r="K2" s="31"/>
      <c r="L2" s="31"/>
      <c r="M2" s="31"/>
      <c r="N2" s="31"/>
      <c r="O2" s="31"/>
      <c r="P2" s="31"/>
      <c r="Q2" s="31"/>
      <c r="R2" s="32"/>
      <c r="S2" s="31"/>
      <c r="T2" s="31"/>
    </row>
    <row r="3" spans="1:20" s="28" customFormat="1" ht="24.5" customHeight="1" thickTop="1" x14ac:dyDescent="0.35">
      <c r="A3" s="1"/>
      <c r="C3" s="38" t="s">
        <v>359</v>
      </c>
      <c r="D3" s="38"/>
      <c r="E3" s="38"/>
      <c r="F3" s="38"/>
      <c r="G3" s="38"/>
      <c r="H3" s="38"/>
      <c r="I3" s="38"/>
      <c r="J3" s="33"/>
      <c r="K3" s="33"/>
      <c r="L3" s="33"/>
      <c r="M3" s="33"/>
      <c r="N3" s="33"/>
      <c r="O3" s="33"/>
      <c r="P3" s="33"/>
      <c r="Q3" s="33"/>
      <c r="R3" s="33"/>
      <c r="S3" s="33"/>
    </row>
    <row r="4" spans="1:20" s="2" customFormat="1" ht="8.25" customHeight="1" x14ac:dyDescent="0.35">
      <c r="A4" s="1"/>
    </row>
    <row r="5" spans="1:20" s="2" customFormat="1" ht="7.5" customHeight="1" x14ac:dyDescent="0.35">
      <c r="A5" s="1"/>
    </row>
    <row r="6" spans="1:20" s="2" customFormat="1" ht="10.5" customHeight="1" x14ac:dyDescent="0.35">
      <c r="A6" s="1"/>
    </row>
    <row r="7" spans="1:20" s="2" customFormat="1" ht="9.75" customHeight="1" x14ac:dyDescent="0.35">
      <c r="A7" s="1"/>
    </row>
    <row r="8" spans="1:20" s="2" customFormat="1" ht="11.25" customHeight="1" x14ac:dyDescent="0.35">
      <c r="A8" s="1"/>
    </row>
    <row r="9" spans="1:20" s="2" customFormat="1" x14ac:dyDescent="0.35">
      <c r="A9" s="1"/>
    </row>
    <row r="10" spans="1:20" s="2" customFormat="1" x14ac:dyDescent="0.35">
      <c r="A10" s="1"/>
    </row>
    <row r="11" spans="1:20" s="2" customFormat="1" ht="14.25" customHeight="1" x14ac:dyDescent="0.35">
      <c r="A11" s="35" t="s">
        <v>358</v>
      </c>
    </row>
    <row r="12" spans="1:20" s="2" customFormat="1" x14ac:dyDescent="0.35">
      <c r="A12" s="1"/>
    </row>
    <row r="13" spans="1:20" s="2" customFormat="1" x14ac:dyDescent="0.35">
      <c r="A13" s="1"/>
    </row>
    <row r="14" spans="1:20" s="2" customFormat="1" x14ac:dyDescent="0.35">
      <c r="A14" s="1"/>
    </row>
    <row r="15" spans="1:20" s="2" customFormat="1" x14ac:dyDescent="0.35">
      <c r="A15" s="1"/>
    </row>
    <row r="16" spans="1:20" s="2" customFormat="1" x14ac:dyDescent="0.35">
      <c r="A16" s="1"/>
    </row>
    <row r="17" spans="1:10" s="2" customFormat="1" x14ac:dyDescent="0.35">
      <c r="A17" s="1"/>
    </row>
    <row r="18" spans="1:10" s="2" customFormat="1" x14ac:dyDescent="0.35">
      <c r="A18" s="1"/>
    </row>
    <row r="19" spans="1:10" s="2" customFormat="1" x14ac:dyDescent="0.35">
      <c r="A19" s="1"/>
    </row>
    <row r="20" spans="1:10" s="2" customFormat="1" x14ac:dyDescent="0.35">
      <c r="A20" s="1"/>
    </row>
    <row r="21" spans="1:10" s="2" customFormat="1" x14ac:dyDescent="0.35">
      <c r="A21" s="1"/>
    </row>
    <row r="22" spans="1:10" s="2" customFormat="1" x14ac:dyDescent="0.35">
      <c r="A22" s="1"/>
    </row>
    <row r="23" spans="1:10" s="2" customFormat="1" x14ac:dyDescent="0.35">
      <c r="A23" s="1"/>
    </row>
    <row r="24" spans="1:10" s="2" customFormat="1" x14ac:dyDescent="0.35">
      <c r="A24" s="1"/>
    </row>
    <row r="25" spans="1:10" s="2" customFormat="1" x14ac:dyDescent="0.35">
      <c r="A25" s="1"/>
      <c r="I25" s="2" t="e" vm="1">
        <v>#VALUE!</v>
      </c>
    </row>
    <row r="26" spans="1:10" s="2" customFormat="1" x14ac:dyDescent="0.35">
      <c r="A26" s="1"/>
      <c r="I26" s="2" t="e" vm="2">
        <v>#VALUE!</v>
      </c>
      <c r="J26" s="2" t="e" vm="3">
        <v>#VALUE!</v>
      </c>
    </row>
    <row r="27" spans="1:10" s="2" customFormat="1" x14ac:dyDescent="0.35">
      <c r="A27" s="1"/>
      <c r="I27" s="2" t="e" vm="4">
        <v>#VALUE!</v>
      </c>
    </row>
    <row r="28" spans="1:10" s="2" customFormat="1" x14ac:dyDescent="0.35">
      <c r="A28" s="1"/>
      <c r="I28" s="2" t="e" vm="5">
        <v>#VALUE!</v>
      </c>
    </row>
    <row r="29" spans="1:10" s="2" customFormat="1" x14ac:dyDescent="0.35">
      <c r="A29" s="1"/>
      <c r="I29" s="2" t="e" vm="6">
        <v>#VALUE!</v>
      </c>
    </row>
    <row r="30" spans="1:10" s="2" customFormat="1" x14ac:dyDescent="0.35">
      <c r="A30" s="1"/>
    </row>
    <row r="31" spans="1:10" s="2" customFormat="1" x14ac:dyDescent="0.35">
      <c r="A31" s="1"/>
    </row>
    <row r="32" spans="1:10" s="2" customFormat="1" x14ac:dyDescent="0.35">
      <c r="A32" s="1"/>
    </row>
    <row r="33" spans="1:1" s="2" customFormat="1" x14ac:dyDescent="0.35">
      <c r="A33" s="1"/>
    </row>
    <row r="34" spans="1:1" s="2" customFormat="1" x14ac:dyDescent="0.35">
      <c r="A34" s="1"/>
    </row>
    <row r="35" spans="1:1" s="2" customFormat="1" x14ac:dyDescent="0.35">
      <c r="A35" s="1"/>
    </row>
    <row r="36" spans="1:1" s="2" customFormat="1" x14ac:dyDescent="0.35">
      <c r="A36" s="1"/>
    </row>
    <row r="37" spans="1:1" s="2" customFormat="1" x14ac:dyDescent="0.35">
      <c r="A37" s="1"/>
    </row>
    <row r="38" spans="1:1" s="2" customFormat="1" x14ac:dyDescent="0.35">
      <c r="A38" s="1"/>
    </row>
    <row r="39" spans="1:1" s="2" customFormat="1" x14ac:dyDescent="0.35">
      <c r="A39" s="1"/>
    </row>
    <row r="40" spans="1:1" s="2" customFormat="1" x14ac:dyDescent="0.35">
      <c r="A40" s="1"/>
    </row>
    <row r="41" spans="1:1" s="2" customFormat="1" x14ac:dyDescent="0.35">
      <c r="A41" s="1"/>
    </row>
    <row r="42" spans="1:1" s="2" customFormat="1" x14ac:dyDescent="0.35">
      <c r="A42" s="1"/>
    </row>
    <row r="43" spans="1:1" s="2" customFormat="1" x14ac:dyDescent="0.35">
      <c r="A43" s="1"/>
    </row>
    <row r="44" spans="1:1" s="2" customFormat="1" x14ac:dyDescent="0.35">
      <c r="A44" s="1"/>
    </row>
    <row r="45" spans="1:1" s="2" customFormat="1" x14ac:dyDescent="0.35">
      <c r="A45" s="1"/>
    </row>
    <row r="46" spans="1:1" s="2" customFormat="1" x14ac:dyDescent="0.35">
      <c r="A46" s="1"/>
    </row>
    <row r="47" spans="1:1" s="2" customFormat="1" x14ac:dyDescent="0.35">
      <c r="A47" s="1"/>
    </row>
    <row r="48" spans="1:1" s="2" customFormat="1" x14ac:dyDescent="0.35">
      <c r="A48" s="1"/>
    </row>
    <row r="49" spans="1:1" s="2" customFormat="1" x14ac:dyDescent="0.35">
      <c r="A49" s="1"/>
    </row>
    <row r="50" spans="1:1" s="2" customFormat="1" x14ac:dyDescent="0.35">
      <c r="A50" s="1"/>
    </row>
    <row r="51" spans="1:1" s="2" customFormat="1" x14ac:dyDescent="0.35">
      <c r="A51" s="1"/>
    </row>
    <row r="52" spans="1:1" s="2" customFormat="1" x14ac:dyDescent="0.35">
      <c r="A52" s="1"/>
    </row>
    <row r="53" spans="1:1" s="2" customFormat="1" x14ac:dyDescent="0.35">
      <c r="A53" s="1"/>
    </row>
    <row r="54" spans="1:1" s="2" customFormat="1" x14ac:dyDescent="0.35">
      <c r="A54" s="1"/>
    </row>
    <row r="55" spans="1:1" s="2" customFormat="1" x14ac:dyDescent="0.35">
      <c r="A55" s="1"/>
    </row>
    <row r="56" spans="1:1" s="2" customFormat="1" x14ac:dyDescent="0.35">
      <c r="A56" s="1"/>
    </row>
    <row r="57" spans="1:1" s="2" customFormat="1" x14ac:dyDescent="0.35">
      <c r="A57" s="1"/>
    </row>
    <row r="58" spans="1:1" s="2" customFormat="1" x14ac:dyDescent="0.35">
      <c r="A58" s="1"/>
    </row>
    <row r="59" spans="1:1" s="2" customFormat="1" x14ac:dyDescent="0.35">
      <c r="A59" s="1"/>
    </row>
    <row r="60" spans="1:1" s="2" customFormat="1" x14ac:dyDescent="0.35">
      <c r="A60" s="1"/>
    </row>
    <row r="61" spans="1:1" s="2" customFormat="1" x14ac:dyDescent="0.35">
      <c r="A61" s="1"/>
    </row>
    <row r="62" spans="1:1" s="2" customFormat="1" x14ac:dyDescent="0.35">
      <c r="A62" s="1"/>
    </row>
    <row r="63" spans="1:1" s="2" customFormat="1" x14ac:dyDescent="0.35">
      <c r="A63" s="1"/>
    </row>
    <row r="64" spans="1:1" s="2" customFormat="1" hidden="1" x14ac:dyDescent="0.35">
      <c r="A64" s="1"/>
    </row>
    <row r="65" spans="1:1" s="2" customFormat="1" hidden="1" x14ac:dyDescent="0.35">
      <c r="A65" s="1"/>
    </row>
    <row r="66" spans="1:1" s="2" customFormat="1" hidden="1" x14ac:dyDescent="0.35">
      <c r="A66" s="1"/>
    </row>
    <row r="67" spans="1:1" s="2" customFormat="1" hidden="1" x14ac:dyDescent="0.35">
      <c r="A67" s="1"/>
    </row>
    <row r="68" spans="1:1" s="2" customFormat="1" hidden="1" x14ac:dyDescent="0.35">
      <c r="A68" s="1"/>
    </row>
    <row r="69" spans="1:1" s="2" customFormat="1" hidden="1" x14ac:dyDescent="0.35">
      <c r="A69" s="1"/>
    </row>
    <row r="70" spans="1:1" s="2" customFormat="1" hidden="1" x14ac:dyDescent="0.35">
      <c r="A70" s="1"/>
    </row>
    <row r="71" spans="1:1" s="2" customFormat="1" hidden="1" x14ac:dyDescent="0.35">
      <c r="A71" s="1"/>
    </row>
    <row r="72" spans="1:1" s="2" customFormat="1" hidden="1" x14ac:dyDescent="0.35">
      <c r="A72" s="1"/>
    </row>
    <row r="73" spans="1:1" s="2" customFormat="1" hidden="1" x14ac:dyDescent="0.35">
      <c r="A73" s="1"/>
    </row>
    <row r="74" spans="1:1" s="2" customFormat="1" hidden="1" x14ac:dyDescent="0.35">
      <c r="A74" s="1"/>
    </row>
    <row r="75" spans="1:1" s="2" customFormat="1" hidden="1" x14ac:dyDescent="0.35">
      <c r="A75" s="1"/>
    </row>
    <row r="76" spans="1:1" s="2" customFormat="1" hidden="1" x14ac:dyDescent="0.35">
      <c r="A76" s="1"/>
    </row>
    <row r="77" spans="1:1" s="2" customFormat="1" hidden="1" x14ac:dyDescent="0.35">
      <c r="A77" s="1"/>
    </row>
    <row r="78" spans="1:1" s="2" customFormat="1" hidden="1" x14ac:dyDescent="0.35">
      <c r="A78" s="1"/>
    </row>
    <row r="79" spans="1:1" s="2" customFormat="1" hidden="1" x14ac:dyDescent="0.35">
      <c r="A79" s="1"/>
    </row>
    <row r="80" spans="1:1" s="2" customFormat="1" hidden="1" x14ac:dyDescent="0.35">
      <c r="A80" s="1"/>
    </row>
    <row r="81" spans="1:1" s="2" customFormat="1" hidden="1" x14ac:dyDescent="0.35">
      <c r="A81" s="1"/>
    </row>
    <row r="82" spans="1:1" s="2" customFormat="1" hidden="1" x14ac:dyDescent="0.35">
      <c r="A82" s="1"/>
    </row>
    <row r="83" spans="1:1" s="2" customFormat="1" hidden="1" x14ac:dyDescent="0.35">
      <c r="A83" s="1"/>
    </row>
    <row r="84" spans="1:1" s="2" customFormat="1" hidden="1" x14ac:dyDescent="0.35">
      <c r="A84" s="1"/>
    </row>
    <row r="85" spans="1:1" s="2" customFormat="1" hidden="1" x14ac:dyDescent="0.35">
      <c r="A85" s="1"/>
    </row>
    <row r="86" spans="1:1" s="2" customFormat="1" hidden="1" x14ac:dyDescent="0.35">
      <c r="A86" s="1"/>
    </row>
    <row r="87" spans="1:1" s="2" customFormat="1" hidden="1" x14ac:dyDescent="0.35">
      <c r="A87" s="1"/>
    </row>
    <row r="88" spans="1:1" s="2" customFormat="1" hidden="1" x14ac:dyDescent="0.35">
      <c r="A88" s="1"/>
    </row>
    <row r="89" spans="1:1" s="2" customFormat="1" hidden="1" x14ac:dyDescent="0.35">
      <c r="A89" s="1"/>
    </row>
    <row r="90" spans="1:1" s="2" customFormat="1" hidden="1" x14ac:dyDescent="0.35">
      <c r="A90" s="1"/>
    </row>
    <row r="91" spans="1:1" s="2" customFormat="1" hidden="1" x14ac:dyDescent="0.35">
      <c r="A91" s="1"/>
    </row>
    <row r="92" spans="1:1" s="2" customFormat="1" hidden="1" x14ac:dyDescent="0.35">
      <c r="A92" s="1"/>
    </row>
    <row r="93" spans="1:1" s="2" customFormat="1" hidden="1" x14ac:dyDescent="0.35">
      <c r="A93" s="1"/>
    </row>
    <row r="94" spans="1:1" s="2" customFormat="1" hidden="1" x14ac:dyDescent="0.35">
      <c r="A94" s="1"/>
    </row>
    <row r="95" spans="1:1" s="2" customFormat="1" hidden="1" x14ac:dyDescent="0.35">
      <c r="A95" s="1"/>
    </row>
    <row r="96" spans="1:1" s="2" customFormat="1" hidden="1" x14ac:dyDescent="0.35">
      <c r="A96" s="1"/>
    </row>
    <row r="97" spans="1:1" s="2" customFormat="1" hidden="1" x14ac:dyDescent="0.35">
      <c r="A97" s="1"/>
    </row>
    <row r="98" spans="1:1" s="2" customFormat="1" hidden="1" x14ac:dyDescent="0.35">
      <c r="A98" s="1"/>
    </row>
    <row r="99" spans="1:1" s="2" customFormat="1" hidden="1" x14ac:dyDescent="0.35">
      <c r="A99" s="1"/>
    </row>
    <row r="100" spans="1:1" s="2" customFormat="1" hidden="1" x14ac:dyDescent="0.35">
      <c r="A100" s="1"/>
    </row>
    <row r="101" spans="1:1" s="2" customFormat="1" hidden="1" x14ac:dyDescent="0.35">
      <c r="A101" s="1"/>
    </row>
    <row r="102" spans="1:1" s="2" customFormat="1" hidden="1" x14ac:dyDescent="0.35">
      <c r="A102" s="1"/>
    </row>
    <row r="103" spans="1:1" s="2" customFormat="1" hidden="1" x14ac:dyDescent="0.35">
      <c r="A103" s="1"/>
    </row>
    <row r="104" spans="1:1" s="2" customFormat="1" hidden="1" x14ac:dyDescent="0.35">
      <c r="A104" s="1"/>
    </row>
    <row r="105" spans="1:1" s="2" customFormat="1" hidden="1" x14ac:dyDescent="0.35">
      <c r="A105" s="1"/>
    </row>
    <row r="106" spans="1:1" s="2" customFormat="1" hidden="1" x14ac:dyDescent="0.35">
      <c r="A106" s="1"/>
    </row>
    <row r="107" spans="1:1" s="2" customFormat="1" hidden="1" x14ac:dyDescent="0.35">
      <c r="A107" s="1"/>
    </row>
    <row r="108" spans="1:1" s="2" customFormat="1" hidden="1" x14ac:dyDescent="0.35">
      <c r="A108" s="1"/>
    </row>
    <row r="109" spans="1:1" s="2" customFormat="1" hidden="1" x14ac:dyDescent="0.35">
      <c r="A109" s="1"/>
    </row>
    <row r="110" spans="1:1" s="2" customFormat="1" hidden="1" x14ac:dyDescent="0.35">
      <c r="A110" s="1"/>
    </row>
    <row r="111" spans="1:1" s="2" customFormat="1" hidden="1" x14ac:dyDescent="0.35">
      <c r="A111" s="1"/>
    </row>
    <row r="112" spans="1:1" s="2" customFormat="1" hidden="1" x14ac:dyDescent="0.35">
      <c r="A112" s="1"/>
    </row>
    <row r="113" spans="1:1" s="2" customFormat="1" hidden="1" x14ac:dyDescent="0.35">
      <c r="A113" s="1"/>
    </row>
    <row r="114" spans="1:1" s="2" customFormat="1" hidden="1" x14ac:dyDescent="0.35">
      <c r="A114" s="1"/>
    </row>
    <row r="115" spans="1:1" s="2" customFormat="1" hidden="1" x14ac:dyDescent="0.35">
      <c r="A115" s="1"/>
    </row>
    <row r="116" spans="1:1" s="2" customFormat="1" hidden="1" x14ac:dyDescent="0.35">
      <c r="A116" s="1"/>
    </row>
    <row r="117" spans="1:1" s="2" customFormat="1" hidden="1" x14ac:dyDescent="0.35">
      <c r="A117" s="1"/>
    </row>
    <row r="118" spans="1:1" s="2" customFormat="1" hidden="1" x14ac:dyDescent="0.35">
      <c r="A118" s="1"/>
    </row>
    <row r="119" spans="1:1" s="2" customFormat="1" hidden="1" x14ac:dyDescent="0.35">
      <c r="A119" s="1"/>
    </row>
    <row r="120" spans="1:1" s="2" customFormat="1" hidden="1" x14ac:dyDescent="0.35">
      <c r="A120" s="1"/>
    </row>
    <row r="121" spans="1:1" s="2" customFormat="1" hidden="1" x14ac:dyDescent="0.35">
      <c r="A121" s="1"/>
    </row>
    <row r="122" spans="1:1" s="2" customFormat="1" hidden="1" x14ac:dyDescent="0.35">
      <c r="A122" s="1"/>
    </row>
    <row r="123" spans="1:1" s="2" customFormat="1" hidden="1" x14ac:dyDescent="0.35">
      <c r="A123" s="1"/>
    </row>
    <row r="124" spans="1:1" s="2" customFormat="1" hidden="1" x14ac:dyDescent="0.35">
      <c r="A124" s="1"/>
    </row>
    <row r="125" spans="1:1" s="2" customFormat="1" hidden="1" x14ac:dyDescent="0.35">
      <c r="A125" s="1"/>
    </row>
    <row r="126" spans="1:1" s="2" customFormat="1" hidden="1" x14ac:dyDescent="0.35">
      <c r="A126" s="1"/>
    </row>
    <row r="127" spans="1:1" s="2" customFormat="1" hidden="1" x14ac:dyDescent="0.35">
      <c r="A127" s="1"/>
    </row>
    <row r="128" spans="1:1" s="2" customFormat="1" hidden="1" x14ac:dyDescent="0.35">
      <c r="A128" s="1"/>
    </row>
    <row r="129" spans="1:1" s="2" customFormat="1" hidden="1" x14ac:dyDescent="0.35">
      <c r="A129" s="1"/>
    </row>
    <row r="130" spans="1:1" s="2" customFormat="1" hidden="1" x14ac:dyDescent="0.35">
      <c r="A130" s="1"/>
    </row>
    <row r="131" spans="1:1" s="2" customFormat="1" hidden="1" x14ac:dyDescent="0.35">
      <c r="A131" s="1"/>
    </row>
    <row r="132" spans="1:1" s="2" customFormat="1" hidden="1" x14ac:dyDescent="0.35">
      <c r="A132" s="1"/>
    </row>
    <row r="133" spans="1:1" s="2" customFormat="1" hidden="1" x14ac:dyDescent="0.35">
      <c r="A133" s="1"/>
    </row>
    <row r="134" spans="1:1" s="2" customFormat="1" hidden="1" x14ac:dyDescent="0.35">
      <c r="A134" s="1"/>
    </row>
    <row r="135" spans="1:1" s="2" customFormat="1" hidden="1" x14ac:dyDescent="0.35">
      <c r="A135" s="1"/>
    </row>
    <row r="136" spans="1:1" s="2" customFormat="1" hidden="1" x14ac:dyDescent="0.35">
      <c r="A136" s="1"/>
    </row>
  </sheetData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4EBC-2677-492D-AC03-FC7BA5EF8345}">
  <sheetPr>
    <tabColor rgb="FF107C10"/>
  </sheetPr>
  <dimension ref="A1:T136"/>
  <sheetViews>
    <sheetView showGridLines="0" showRowColHeaders="0" topLeftCell="A19" zoomScale="75" zoomScaleNormal="75" workbookViewId="0">
      <selection activeCell="A63" sqref="A6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1" customWidth="1"/>
    <col min="2" max="2" width="3.54296875" customWidth="1"/>
    <col min="3" max="11" width="8.7265625" customWidth="1"/>
    <col min="12" max="12" width="6.54296875" customWidth="1"/>
    <col min="13" max="21" width="8.7265625" customWidth="1"/>
    <col min="22" max="16384" width="8.7265625" hidden="1"/>
  </cols>
  <sheetData>
    <row r="1" spans="1:20" s="28" customFormat="1" x14ac:dyDescent="0.35">
      <c r="A1" s="1"/>
    </row>
    <row r="2" spans="1:20" s="28" customFormat="1" ht="27.75" customHeight="1" thickBot="1" x14ac:dyDescent="0.65">
      <c r="A2" s="1"/>
      <c r="C2" s="34" t="s">
        <v>356</v>
      </c>
      <c r="D2" s="34"/>
      <c r="E2" s="34"/>
      <c r="F2" s="34"/>
      <c r="G2" s="34"/>
      <c r="H2" s="34"/>
      <c r="I2" s="34"/>
      <c r="J2" s="31"/>
      <c r="K2" s="31"/>
      <c r="L2" s="31"/>
      <c r="M2" s="31"/>
      <c r="N2" s="31"/>
      <c r="O2" s="31"/>
      <c r="P2" s="31"/>
      <c r="Q2" s="31"/>
      <c r="R2" s="32"/>
      <c r="S2" s="31"/>
      <c r="T2" s="31"/>
    </row>
    <row r="3" spans="1:20" s="28" customFormat="1" ht="24.5" customHeight="1" thickTop="1" x14ac:dyDescent="0.35">
      <c r="A3" s="1"/>
      <c r="C3" s="38" t="s">
        <v>360</v>
      </c>
      <c r="D3" s="38"/>
      <c r="E3" s="38"/>
      <c r="F3" s="38"/>
      <c r="G3" s="38"/>
      <c r="H3" s="38"/>
      <c r="I3" s="38"/>
      <c r="J3" s="33"/>
      <c r="K3" s="33"/>
      <c r="L3" s="33"/>
      <c r="M3" s="33"/>
      <c r="N3" s="33"/>
      <c r="O3" s="33"/>
      <c r="P3" s="33"/>
      <c r="Q3" s="33"/>
      <c r="R3" s="33"/>
      <c r="S3" s="33"/>
    </row>
    <row r="4" spans="1:20" s="2" customFormat="1" ht="8.25" customHeight="1" x14ac:dyDescent="0.35">
      <c r="A4" s="1"/>
    </row>
    <row r="5" spans="1:20" s="2" customFormat="1" ht="7.5" customHeight="1" x14ac:dyDescent="0.35">
      <c r="A5" s="1"/>
    </row>
    <row r="6" spans="1:20" s="2" customFormat="1" ht="10.5" customHeight="1" x14ac:dyDescent="0.35">
      <c r="A6" s="1"/>
    </row>
    <row r="7" spans="1:20" s="2" customFormat="1" ht="9.75" customHeight="1" x14ac:dyDescent="0.35">
      <c r="A7" s="1"/>
    </row>
    <row r="8" spans="1:20" s="2" customFormat="1" ht="11.25" customHeight="1" x14ac:dyDescent="0.35">
      <c r="A8" s="1"/>
    </row>
    <row r="9" spans="1:20" s="2" customFormat="1" x14ac:dyDescent="0.35">
      <c r="A9" s="1"/>
    </row>
    <row r="10" spans="1:20" s="2" customFormat="1" x14ac:dyDescent="0.35">
      <c r="A10" s="1"/>
    </row>
    <row r="11" spans="1:20" s="2" customFormat="1" ht="14.25" customHeight="1" x14ac:dyDescent="0.35">
      <c r="A11" s="35" t="s">
        <v>358</v>
      </c>
    </row>
    <row r="12" spans="1:20" s="2" customFormat="1" x14ac:dyDescent="0.35">
      <c r="A12" s="1"/>
    </row>
    <row r="13" spans="1:20" s="2" customFormat="1" x14ac:dyDescent="0.35">
      <c r="A13" s="1"/>
    </row>
    <row r="14" spans="1:20" s="2" customFormat="1" x14ac:dyDescent="0.35">
      <c r="A14" s="1"/>
    </row>
    <row r="15" spans="1:20" s="2" customFormat="1" x14ac:dyDescent="0.35">
      <c r="A15" s="1"/>
    </row>
    <row r="16" spans="1:20" s="2" customFormat="1" x14ac:dyDescent="0.35">
      <c r="A16" s="1"/>
    </row>
    <row r="17" spans="1:10" s="2" customFormat="1" x14ac:dyDescent="0.35">
      <c r="A17" s="1"/>
    </row>
    <row r="18" spans="1:10" s="2" customFormat="1" x14ac:dyDescent="0.35">
      <c r="A18" s="1"/>
    </row>
    <row r="19" spans="1:10" s="2" customFormat="1" x14ac:dyDescent="0.35">
      <c r="A19" s="1"/>
    </row>
    <row r="20" spans="1:10" s="2" customFormat="1" x14ac:dyDescent="0.35">
      <c r="A20" s="1"/>
    </row>
    <row r="21" spans="1:10" s="2" customFormat="1" x14ac:dyDescent="0.35">
      <c r="A21" s="1"/>
    </row>
    <row r="22" spans="1:10" s="2" customFormat="1" x14ac:dyDescent="0.35">
      <c r="A22" s="1"/>
    </row>
    <row r="23" spans="1:10" s="2" customFormat="1" x14ac:dyDescent="0.35">
      <c r="A23" s="1"/>
    </row>
    <row r="24" spans="1:10" s="2" customFormat="1" x14ac:dyDescent="0.35">
      <c r="A24" s="1"/>
    </row>
    <row r="25" spans="1:10" s="2" customFormat="1" x14ac:dyDescent="0.35">
      <c r="A25" s="1"/>
      <c r="I25" s="2" t="e" vm="1">
        <v>#VALUE!</v>
      </c>
    </row>
    <row r="26" spans="1:10" s="2" customFormat="1" x14ac:dyDescent="0.35">
      <c r="A26" s="1"/>
      <c r="I26" s="2" t="e" vm="2">
        <v>#VALUE!</v>
      </c>
      <c r="J26" s="2" t="e" vm="3">
        <v>#VALUE!</v>
      </c>
    </row>
    <row r="27" spans="1:10" s="2" customFormat="1" x14ac:dyDescent="0.35">
      <c r="A27" s="1"/>
      <c r="I27" s="2" t="e" vm="4">
        <v>#VALUE!</v>
      </c>
    </row>
    <row r="28" spans="1:10" s="2" customFormat="1" x14ac:dyDescent="0.35">
      <c r="A28" s="1"/>
      <c r="I28" s="2" t="e" vm="5">
        <v>#VALUE!</v>
      </c>
    </row>
    <row r="29" spans="1:10" s="2" customFormat="1" x14ac:dyDescent="0.35">
      <c r="A29" s="1"/>
      <c r="I29" s="2" t="e" vm="6">
        <v>#VALUE!</v>
      </c>
    </row>
    <row r="30" spans="1:10" s="2" customFormat="1" x14ac:dyDescent="0.35">
      <c r="A30" s="1"/>
    </row>
    <row r="31" spans="1:10" s="2" customFormat="1" x14ac:dyDescent="0.35">
      <c r="A31" s="1"/>
    </row>
    <row r="32" spans="1:10" s="2" customFormat="1" x14ac:dyDescent="0.35">
      <c r="A32" s="1"/>
    </row>
    <row r="33" spans="1:1" s="2" customFormat="1" x14ac:dyDescent="0.35">
      <c r="A33" s="1"/>
    </row>
    <row r="34" spans="1:1" s="2" customFormat="1" x14ac:dyDescent="0.35">
      <c r="A34" s="1"/>
    </row>
    <row r="35" spans="1:1" s="2" customFormat="1" x14ac:dyDescent="0.35">
      <c r="A35" s="1"/>
    </row>
    <row r="36" spans="1:1" s="2" customFormat="1" x14ac:dyDescent="0.35">
      <c r="A36" s="1"/>
    </row>
    <row r="37" spans="1:1" s="2" customFormat="1" x14ac:dyDescent="0.35">
      <c r="A37" s="1"/>
    </row>
    <row r="38" spans="1:1" s="2" customFormat="1" x14ac:dyDescent="0.35">
      <c r="A38" s="1"/>
    </row>
    <row r="39" spans="1:1" s="2" customFormat="1" x14ac:dyDescent="0.35">
      <c r="A39" s="1"/>
    </row>
    <row r="40" spans="1:1" s="2" customFormat="1" x14ac:dyDescent="0.35">
      <c r="A40" s="1"/>
    </row>
    <row r="41" spans="1:1" s="2" customFormat="1" x14ac:dyDescent="0.35">
      <c r="A41" s="1"/>
    </row>
    <row r="42" spans="1:1" s="2" customFormat="1" x14ac:dyDescent="0.35">
      <c r="A42" s="1"/>
    </row>
    <row r="43" spans="1:1" s="2" customFormat="1" x14ac:dyDescent="0.35">
      <c r="A43" s="1"/>
    </row>
    <row r="44" spans="1:1" s="2" customFormat="1" x14ac:dyDescent="0.35">
      <c r="A44" s="1"/>
    </row>
    <row r="45" spans="1:1" s="2" customFormat="1" x14ac:dyDescent="0.35">
      <c r="A45" s="1"/>
    </row>
    <row r="46" spans="1:1" s="2" customFormat="1" x14ac:dyDescent="0.35">
      <c r="A46" s="1"/>
    </row>
    <row r="47" spans="1:1" s="2" customFormat="1" x14ac:dyDescent="0.35">
      <c r="A47" s="1"/>
    </row>
    <row r="48" spans="1:1" s="2" customFormat="1" x14ac:dyDescent="0.35">
      <c r="A48" s="1"/>
    </row>
    <row r="49" spans="1:1" s="2" customFormat="1" x14ac:dyDescent="0.35">
      <c r="A49" s="1"/>
    </row>
    <row r="50" spans="1:1" s="2" customFormat="1" x14ac:dyDescent="0.35">
      <c r="A50" s="1"/>
    </row>
    <row r="51" spans="1:1" s="2" customFormat="1" x14ac:dyDescent="0.35">
      <c r="A51" s="1"/>
    </row>
    <row r="52" spans="1:1" s="2" customFormat="1" x14ac:dyDescent="0.35">
      <c r="A52" s="1"/>
    </row>
    <row r="53" spans="1:1" s="2" customFormat="1" x14ac:dyDescent="0.35">
      <c r="A53" s="1"/>
    </row>
    <row r="54" spans="1:1" s="2" customFormat="1" x14ac:dyDescent="0.35">
      <c r="A54" s="1"/>
    </row>
    <row r="55" spans="1:1" s="2" customFormat="1" x14ac:dyDescent="0.35">
      <c r="A55" s="1"/>
    </row>
    <row r="56" spans="1:1" s="2" customFormat="1" x14ac:dyDescent="0.35">
      <c r="A56" s="1"/>
    </row>
    <row r="57" spans="1:1" s="2" customFormat="1" x14ac:dyDescent="0.35">
      <c r="A57" s="1"/>
    </row>
    <row r="58" spans="1:1" s="2" customFormat="1" x14ac:dyDescent="0.35">
      <c r="A58" s="1"/>
    </row>
    <row r="59" spans="1:1" s="2" customFormat="1" x14ac:dyDescent="0.35">
      <c r="A59" s="1"/>
    </row>
    <row r="60" spans="1:1" s="2" customFormat="1" x14ac:dyDescent="0.35">
      <c r="A60" s="1"/>
    </row>
    <row r="61" spans="1:1" s="2" customFormat="1" x14ac:dyDescent="0.35">
      <c r="A61" s="1"/>
    </row>
    <row r="62" spans="1:1" s="2" customFormat="1" x14ac:dyDescent="0.35">
      <c r="A62" s="1"/>
    </row>
    <row r="63" spans="1:1" s="2" customFormat="1" x14ac:dyDescent="0.35">
      <c r="A63" s="1"/>
    </row>
    <row r="64" spans="1:1" s="2" customFormat="1" hidden="1" x14ac:dyDescent="0.35">
      <c r="A64" s="1"/>
    </row>
    <row r="65" spans="1:1" s="2" customFormat="1" hidden="1" x14ac:dyDescent="0.35">
      <c r="A65" s="1"/>
    </row>
    <row r="66" spans="1:1" s="2" customFormat="1" hidden="1" x14ac:dyDescent="0.35">
      <c r="A66" s="1"/>
    </row>
    <row r="67" spans="1:1" s="2" customFormat="1" hidden="1" x14ac:dyDescent="0.35">
      <c r="A67" s="1"/>
    </row>
    <row r="68" spans="1:1" s="2" customFormat="1" hidden="1" x14ac:dyDescent="0.35">
      <c r="A68" s="1"/>
    </row>
    <row r="69" spans="1:1" s="2" customFormat="1" hidden="1" x14ac:dyDescent="0.35">
      <c r="A69" s="1"/>
    </row>
    <row r="70" spans="1:1" s="2" customFormat="1" hidden="1" x14ac:dyDescent="0.35">
      <c r="A70" s="1"/>
    </row>
    <row r="71" spans="1:1" s="2" customFormat="1" hidden="1" x14ac:dyDescent="0.35">
      <c r="A71" s="1"/>
    </row>
    <row r="72" spans="1:1" s="2" customFormat="1" hidden="1" x14ac:dyDescent="0.35">
      <c r="A72" s="1"/>
    </row>
    <row r="73" spans="1:1" s="2" customFormat="1" hidden="1" x14ac:dyDescent="0.35">
      <c r="A73" s="1"/>
    </row>
    <row r="74" spans="1:1" s="2" customFormat="1" hidden="1" x14ac:dyDescent="0.35">
      <c r="A74" s="1"/>
    </row>
    <row r="75" spans="1:1" s="2" customFormat="1" hidden="1" x14ac:dyDescent="0.35">
      <c r="A75" s="1"/>
    </row>
    <row r="76" spans="1:1" s="2" customFormat="1" hidden="1" x14ac:dyDescent="0.35">
      <c r="A76" s="1"/>
    </row>
    <row r="77" spans="1:1" s="2" customFormat="1" hidden="1" x14ac:dyDescent="0.35">
      <c r="A77" s="1"/>
    </row>
    <row r="78" spans="1:1" s="2" customFormat="1" hidden="1" x14ac:dyDescent="0.35">
      <c r="A78" s="1"/>
    </row>
    <row r="79" spans="1:1" s="2" customFormat="1" hidden="1" x14ac:dyDescent="0.35">
      <c r="A79" s="1"/>
    </row>
    <row r="80" spans="1:1" s="2" customFormat="1" hidden="1" x14ac:dyDescent="0.35">
      <c r="A80" s="1"/>
    </row>
    <row r="81" spans="1:1" s="2" customFormat="1" hidden="1" x14ac:dyDescent="0.35">
      <c r="A81" s="1"/>
    </row>
    <row r="82" spans="1:1" s="2" customFormat="1" hidden="1" x14ac:dyDescent="0.35">
      <c r="A82" s="1"/>
    </row>
    <row r="83" spans="1:1" s="2" customFormat="1" hidden="1" x14ac:dyDescent="0.35">
      <c r="A83" s="1"/>
    </row>
    <row r="84" spans="1:1" s="2" customFormat="1" hidden="1" x14ac:dyDescent="0.35">
      <c r="A84" s="1"/>
    </row>
    <row r="85" spans="1:1" s="2" customFormat="1" hidden="1" x14ac:dyDescent="0.35">
      <c r="A85" s="1"/>
    </row>
    <row r="86" spans="1:1" s="2" customFormat="1" hidden="1" x14ac:dyDescent="0.35">
      <c r="A86" s="1"/>
    </row>
    <row r="87" spans="1:1" s="2" customFormat="1" hidden="1" x14ac:dyDescent="0.35">
      <c r="A87" s="1"/>
    </row>
    <row r="88" spans="1:1" s="2" customFormat="1" hidden="1" x14ac:dyDescent="0.35">
      <c r="A88" s="1"/>
    </row>
    <row r="89" spans="1:1" s="2" customFormat="1" hidden="1" x14ac:dyDescent="0.35">
      <c r="A89" s="1"/>
    </row>
    <row r="90" spans="1:1" s="2" customFormat="1" hidden="1" x14ac:dyDescent="0.35">
      <c r="A90" s="1"/>
    </row>
    <row r="91" spans="1:1" s="2" customFormat="1" hidden="1" x14ac:dyDescent="0.35">
      <c r="A91" s="1"/>
    </row>
    <row r="92" spans="1:1" s="2" customFormat="1" hidden="1" x14ac:dyDescent="0.35">
      <c r="A92" s="1"/>
    </row>
    <row r="93" spans="1:1" s="2" customFormat="1" hidden="1" x14ac:dyDescent="0.35">
      <c r="A93" s="1"/>
    </row>
    <row r="94" spans="1:1" s="2" customFormat="1" hidden="1" x14ac:dyDescent="0.35">
      <c r="A94" s="1"/>
    </row>
    <row r="95" spans="1:1" s="2" customFormat="1" hidden="1" x14ac:dyDescent="0.35">
      <c r="A95" s="1"/>
    </row>
    <row r="96" spans="1:1" s="2" customFormat="1" hidden="1" x14ac:dyDescent="0.35">
      <c r="A96" s="1"/>
    </row>
    <row r="97" spans="1:1" s="2" customFormat="1" hidden="1" x14ac:dyDescent="0.35">
      <c r="A97" s="1"/>
    </row>
    <row r="98" spans="1:1" s="2" customFormat="1" hidden="1" x14ac:dyDescent="0.35">
      <c r="A98" s="1"/>
    </row>
    <row r="99" spans="1:1" s="2" customFormat="1" hidden="1" x14ac:dyDescent="0.35">
      <c r="A99" s="1"/>
    </row>
    <row r="100" spans="1:1" s="2" customFormat="1" hidden="1" x14ac:dyDescent="0.35">
      <c r="A100" s="1"/>
    </row>
    <row r="101" spans="1:1" s="2" customFormat="1" hidden="1" x14ac:dyDescent="0.35">
      <c r="A101" s="1"/>
    </row>
    <row r="102" spans="1:1" s="2" customFormat="1" hidden="1" x14ac:dyDescent="0.35">
      <c r="A102" s="1"/>
    </row>
    <row r="103" spans="1:1" s="2" customFormat="1" hidden="1" x14ac:dyDescent="0.35">
      <c r="A103" s="1"/>
    </row>
    <row r="104" spans="1:1" s="2" customFormat="1" hidden="1" x14ac:dyDescent="0.35">
      <c r="A104" s="1"/>
    </row>
    <row r="105" spans="1:1" s="2" customFormat="1" hidden="1" x14ac:dyDescent="0.35">
      <c r="A105" s="1"/>
    </row>
    <row r="106" spans="1:1" s="2" customFormat="1" hidden="1" x14ac:dyDescent="0.35">
      <c r="A106" s="1"/>
    </row>
    <row r="107" spans="1:1" s="2" customFormat="1" hidden="1" x14ac:dyDescent="0.35">
      <c r="A107" s="1"/>
    </row>
    <row r="108" spans="1:1" s="2" customFormat="1" hidden="1" x14ac:dyDescent="0.35">
      <c r="A108" s="1"/>
    </row>
    <row r="109" spans="1:1" s="2" customFormat="1" hidden="1" x14ac:dyDescent="0.35">
      <c r="A109" s="1"/>
    </row>
    <row r="110" spans="1:1" s="2" customFormat="1" hidden="1" x14ac:dyDescent="0.35">
      <c r="A110" s="1"/>
    </row>
    <row r="111" spans="1:1" s="2" customFormat="1" hidden="1" x14ac:dyDescent="0.35">
      <c r="A111" s="1"/>
    </row>
    <row r="112" spans="1:1" s="2" customFormat="1" hidden="1" x14ac:dyDescent="0.35">
      <c r="A112" s="1"/>
    </row>
    <row r="113" spans="1:1" s="2" customFormat="1" hidden="1" x14ac:dyDescent="0.35">
      <c r="A113" s="1"/>
    </row>
    <row r="114" spans="1:1" s="2" customFormat="1" hidden="1" x14ac:dyDescent="0.35">
      <c r="A114" s="1"/>
    </row>
    <row r="115" spans="1:1" s="2" customFormat="1" hidden="1" x14ac:dyDescent="0.35">
      <c r="A115" s="1"/>
    </row>
    <row r="116" spans="1:1" s="2" customFormat="1" hidden="1" x14ac:dyDescent="0.35">
      <c r="A116" s="1"/>
    </row>
    <row r="117" spans="1:1" s="2" customFormat="1" hidden="1" x14ac:dyDescent="0.35">
      <c r="A117" s="1"/>
    </row>
    <row r="118" spans="1:1" s="2" customFormat="1" hidden="1" x14ac:dyDescent="0.35">
      <c r="A118" s="1"/>
    </row>
    <row r="119" spans="1:1" s="2" customFormat="1" hidden="1" x14ac:dyDescent="0.35">
      <c r="A119" s="1"/>
    </row>
    <row r="120" spans="1:1" s="2" customFormat="1" hidden="1" x14ac:dyDescent="0.35">
      <c r="A120" s="1"/>
    </row>
    <row r="121" spans="1:1" s="2" customFormat="1" hidden="1" x14ac:dyDescent="0.35">
      <c r="A121" s="1"/>
    </row>
    <row r="122" spans="1:1" s="2" customFormat="1" hidden="1" x14ac:dyDescent="0.35">
      <c r="A122" s="1"/>
    </row>
    <row r="123" spans="1:1" s="2" customFormat="1" hidden="1" x14ac:dyDescent="0.35">
      <c r="A123" s="1"/>
    </row>
    <row r="124" spans="1:1" s="2" customFormat="1" hidden="1" x14ac:dyDescent="0.35">
      <c r="A124" s="1"/>
    </row>
    <row r="125" spans="1:1" s="2" customFormat="1" hidden="1" x14ac:dyDescent="0.35">
      <c r="A125" s="1"/>
    </row>
    <row r="126" spans="1:1" s="2" customFormat="1" hidden="1" x14ac:dyDescent="0.35">
      <c r="A126" s="1"/>
    </row>
    <row r="127" spans="1:1" s="2" customFormat="1" hidden="1" x14ac:dyDescent="0.35">
      <c r="A127" s="1"/>
    </row>
    <row r="128" spans="1:1" s="2" customFormat="1" hidden="1" x14ac:dyDescent="0.35">
      <c r="A128" s="1"/>
    </row>
    <row r="129" spans="1:1" s="2" customFormat="1" hidden="1" x14ac:dyDescent="0.35">
      <c r="A129" s="1"/>
    </row>
    <row r="130" spans="1:1" s="2" customFormat="1" hidden="1" x14ac:dyDescent="0.35">
      <c r="A130" s="1"/>
    </row>
    <row r="131" spans="1:1" s="2" customFormat="1" hidden="1" x14ac:dyDescent="0.35">
      <c r="A131" s="1"/>
    </row>
    <row r="132" spans="1:1" s="2" customFormat="1" hidden="1" x14ac:dyDescent="0.35">
      <c r="A132" s="1"/>
    </row>
    <row r="133" spans="1:1" s="2" customFormat="1" hidden="1" x14ac:dyDescent="0.35">
      <c r="A133" s="1"/>
    </row>
    <row r="134" spans="1:1" s="2" customFormat="1" hidden="1" x14ac:dyDescent="0.35">
      <c r="A134" s="1"/>
    </row>
    <row r="135" spans="1:1" s="2" customFormat="1" hidden="1" x14ac:dyDescent="0.35">
      <c r="A135" s="1"/>
    </row>
    <row r="136" spans="1:1" s="2" customFormat="1" hidden="1" x14ac:dyDescent="0.35">
      <c r="A136" s="1"/>
    </row>
  </sheetData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00BEA-2255-4B8A-AECE-58878E49873E}">
  <sheetPr>
    <tabColor rgb="FF107C10"/>
  </sheetPr>
  <dimension ref="A1:W136"/>
  <sheetViews>
    <sheetView showGridLines="0" showRowColHeaders="0" topLeftCell="A45" zoomScale="75" zoomScaleNormal="75" workbookViewId="0">
      <selection activeCell="A63" sqref="A6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27.453125" style="1" customWidth="1"/>
    <col min="2" max="2" width="3.54296875" customWidth="1"/>
    <col min="3" max="11" width="8.7265625" customWidth="1"/>
    <col min="12" max="12" width="6.54296875" customWidth="1"/>
    <col min="13" max="21" width="8.7265625" customWidth="1"/>
    <col min="24" max="16384" width="8.7265625" hidden="1"/>
  </cols>
  <sheetData>
    <row r="1" spans="1:20" s="28" customFormat="1" x14ac:dyDescent="0.35">
      <c r="A1" s="1"/>
    </row>
    <row r="2" spans="1:20" s="28" customFormat="1" ht="27.75" customHeight="1" thickBot="1" x14ac:dyDescent="0.65">
      <c r="A2" s="1"/>
      <c r="C2" s="34" t="s">
        <v>356</v>
      </c>
      <c r="D2" s="34"/>
      <c r="E2" s="34"/>
      <c r="F2" s="34"/>
      <c r="G2" s="34"/>
      <c r="H2" s="34"/>
      <c r="I2" s="34"/>
      <c r="J2" s="31"/>
      <c r="K2" s="31"/>
      <c r="L2" s="31"/>
      <c r="M2" s="31"/>
      <c r="N2" s="31"/>
      <c r="O2" s="31"/>
      <c r="P2" s="31"/>
      <c r="Q2" s="31"/>
      <c r="R2" s="32"/>
      <c r="S2" s="31"/>
      <c r="T2" s="31"/>
    </row>
    <row r="3" spans="1:20" s="28" customFormat="1" ht="24.5" customHeight="1" thickTop="1" x14ac:dyDescent="0.35">
      <c r="A3" s="1"/>
      <c r="C3" s="38" t="s">
        <v>362</v>
      </c>
      <c r="D3" s="38"/>
      <c r="E3" s="38"/>
      <c r="F3" s="38"/>
      <c r="G3" s="38"/>
      <c r="H3" s="38"/>
      <c r="I3" s="38"/>
      <c r="J3" s="33"/>
      <c r="K3" s="33"/>
      <c r="L3" s="33"/>
      <c r="M3" s="33"/>
      <c r="N3" s="33"/>
      <c r="O3" s="33"/>
      <c r="P3" s="33"/>
      <c r="Q3" s="33"/>
      <c r="R3" s="33"/>
      <c r="S3" s="33"/>
    </row>
    <row r="4" spans="1:20" s="2" customFormat="1" ht="8.25" customHeight="1" x14ac:dyDescent="0.35">
      <c r="A4" s="1"/>
    </row>
    <row r="5" spans="1:20" s="2" customFormat="1" ht="7.5" customHeight="1" x14ac:dyDescent="0.35">
      <c r="A5" s="1"/>
    </row>
    <row r="6" spans="1:20" s="2" customFormat="1" ht="10.5" customHeight="1" x14ac:dyDescent="0.35">
      <c r="A6" s="1"/>
    </row>
    <row r="7" spans="1:20" s="2" customFormat="1" ht="9.75" customHeight="1" x14ac:dyDescent="0.35">
      <c r="A7" s="1"/>
    </row>
    <row r="8" spans="1:20" s="2" customFormat="1" ht="11.25" customHeight="1" x14ac:dyDescent="0.35">
      <c r="A8" s="1"/>
    </row>
    <row r="9" spans="1:20" s="2" customFormat="1" x14ac:dyDescent="0.35">
      <c r="A9" s="1"/>
    </row>
    <row r="10" spans="1:20" s="2" customFormat="1" x14ac:dyDescent="0.35">
      <c r="A10" s="1"/>
    </row>
    <row r="11" spans="1:20" s="2" customFormat="1" ht="14.25" customHeight="1" x14ac:dyDescent="0.35">
      <c r="A11" s="35" t="s">
        <v>358</v>
      </c>
    </row>
    <row r="12" spans="1:20" s="2" customFormat="1" x14ac:dyDescent="0.35">
      <c r="A12" s="1"/>
    </row>
    <row r="13" spans="1:20" s="2" customFormat="1" x14ac:dyDescent="0.35">
      <c r="A13" s="1"/>
    </row>
    <row r="14" spans="1:20" s="2" customFormat="1" x14ac:dyDescent="0.35">
      <c r="A14" s="1"/>
    </row>
    <row r="15" spans="1:20" s="2" customFormat="1" x14ac:dyDescent="0.35">
      <c r="A15" s="1"/>
    </row>
    <row r="16" spans="1:20" s="2" customFormat="1" x14ac:dyDescent="0.35">
      <c r="A16" s="1"/>
    </row>
    <row r="17" spans="1:23" s="2" customFormat="1" x14ac:dyDescent="0.35">
      <c r="A17" s="1"/>
    </row>
    <row r="18" spans="1:23" s="2" customFormat="1" x14ac:dyDescent="0.35">
      <c r="A18" s="1"/>
    </row>
    <row r="19" spans="1:23" s="2" customFormat="1" x14ac:dyDescent="0.35">
      <c r="A19" s="1"/>
    </row>
    <row r="20" spans="1:23" s="2" customFormat="1" x14ac:dyDescent="0.35">
      <c r="A20" s="1"/>
    </row>
    <row r="21" spans="1:23" s="2" customFormat="1" x14ac:dyDescent="0.35">
      <c r="A21" s="1"/>
    </row>
    <row r="22" spans="1:23" s="2" customFormat="1" x14ac:dyDescent="0.35">
      <c r="A22" s="1"/>
    </row>
    <row r="23" spans="1:23" s="2" customFormat="1" x14ac:dyDescent="0.35">
      <c r="A23" s="1"/>
    </row>
    <row r="24" spans="1:23" s="2" customFormat="1" x14ac:dyDescent="0.35">
      <c r="A24" s="1"/>
    </row>
    <row r="25" spans="1:23" s="2" customFormat="1" x14ac:dyDescent="0.35">
      <c r="A25" s="1"/>
      <c r="I25" s="2" t="e" vm="1">
        <v>#VALUE!</v>
      </c>
    </row>
    <row r="26" spans="1:23" s="2" customFormat="1" x14ac:dyDescent="0.35">
      <c r="A26" s="1"/>
      <c r="I26" s="2" t="e" vm="2">
        <v>#VALUE!</v>
      </c>
      <c r="J26" s="2" t="e" vm="3">
        <v>#VALUE!</v>
      </c>
    </row>
    <row r="27" spans="1:23" s="2" customFormat="1" x14ac:dyDescent="0.35">
      <c r="A27" s="1"/>
      <c r="I27" s="2" t="e" vm="4">
        <v>#VALUE!</v>
      </c>
    </row>
    <row r="28" spans="1:23" s="2" customFormat="1" x14ac:dyDescent="0.35">
      <c r="A28" s="1"/>
      <c r="I28" s="2" t="e" vm="5">
        <v>#VALUE!</v>
      </c>
    </row>
    <row r="29" spans="1:23" s="2" customFormat="1" x14ac:dyDescent="0.35">
      <c r="A29" s="1"/>
      <c r="I29" s="2" t="e" vm="6">
        <v>#VALUE!</v>
      </c>
    </row>
    <row r="30" spans="1:23" s="2" customFormat="1" x14ac:dyDescent="0.35">
      <c r="A30" s="1"/>
      <c r="W30" s="40"/>
    </row>
    <row r="31" spans="1:23" s="2" customFormat="1" x14ac:dyDescent="0.35">
      <c r="A31" s="1"/>
    </row>
    <row r="32" spans="1:23" s="2" customFormat="1" x14ac:dyDescent="0.35">
      <c r="A32" s="1"/>
    </row>
    <row r="33" spans="1:1" s="2" customFormat="1" x14ac:dyDescent="0.35">
      <c r="A33" s="1"/>
    </row>
    <row r="34" spans="1:1" s="2" customFormat="1" x14ac:dyDescent="0.35">
      <c r="A34" s="1"/>
    </row>
    <row r="35" spans="1:1" s="2" customFormat="1" x14ac:dyDescent="0.35">
      <c r="A35" s="1"/>
    </row>
    <row r="36" spans="1:1" s="2" customFormat="1" x14ac:dyDescent="0.35">
      <c r="A36" s="1"/>
    </row>
    <row r="37" spans="1:1" s="2" customFormat="1" x14ac:dyDescent="0.35">
      <c r="A37" s="1"/>
    </row>
    <row r="38" spans="1:1" s="2" customFormat="1" x14ac:dyDescent="0.35">
      <c r="A38" s="1"/>
    </row>
    <row r="39" spans="1:1" s="2" customFormat="1" x14ac:dyDescent="0.35">
      <c r="A39" s="1"/>
    </row>
    <row r="40" spans="1:1" s="2" customFormat="1" x14ac:dyDescent="0.35">
      <c r="A40" s="1"/>
    </row>
    <row r="41" spans="1:1" s="2" customFormat="1" x14ac:dyDescent="0.35">
      <c r="A41" s="1"/>
    </row>
    <row r="42" spans="1:1" s="2" customFormat="1" x14ac:dyDescent="0.35">
      <c r="A42" s="1"/>
    </row>
    <row r="43" spans="1:1" s="2" customFormat="1" x14ac:dyDescent="0.35">
      <c r="A43" s="1"/>
    </row>
    <row r="44" spans="1:1" s="2" customFormat="1" x14ac:dyDescent="0.35">
      <c r="A44" s="1"/>
    </row>
    <row r="45" spans="1:1" s="2" customFormat="1" x14ac:dyDescent="0.35">
      <c r="A45" s="1"/>
    </row>
    <row r="46" spans="1:1" s="2" customFormat="1" x14ac:dyDescent="0.35">
      <c r="A46" s="1"/>
    </row>
    <row r="47" spans="1:1" s="2" customFormat="1" x14ac:dyDescent="0.35">
      <c r="A47" s="1"/>
    </row>
    <row r="48" spans="1:1" s="2" customFormat="1" x14ac:dyDescent="0.35">
      <c r="A48" s="1"/>
    </row>
    <row r="49" spans="1:1" s="2" customFormat="1" x14ac:dyDescent="0.35">
      <c r="A49" s="1"/>
    </row>
    <row r="50" spans="1:1" s="2" customFormat="1" x14ac:dyDescent="0.35">
      <c r="A50" s="1"/>
    </row>
    <row r="51" spans="1:1" s="2" customFormat="1" x14ac:dyDescent="0.35">
      <c r="A51" s="1"/>
    </row>
    <row r="52" spans="1:1" s="2" customFormat="1" x14ac:dyDescent="0.35">
      <c r="A52" s="1"/>
    </row>
    <row r="53" spans="1:1" s="2" customFormat="1" x14ac:dyDescent="0.35">
      <c r="A53" s="1"/>
    </row>
    <row r="54" spans="1:1" s="2" customFormat="1" x14ac:dyDescent="0.35">
      <c r="A54" s="1"/>
    </row>
    <row r="55" spans="1:1" s="2" customFormat="1" x14ac:dyDescent="0.35">
      <c r="A55" s="1"/>
    </row>
    <row r="56" spans="1:1" s="2" customFormat="1" x14ac:dyDescent="0.35">
      <c r="A56" s="1"/>
    </row>
    <row r="57" spans="1:1" s="2" customFormat="1" x14ac:dyDescent="0.35">
      <c r="A57" s="1"/>
    </row>
    <row r="58" spans="1:1" s="2" customFormat="1" x14ac:dyDescent="0.35">
      <c r="A58" s="1"/>
    </row>
    <row r="59" spans="1:1" s="2" customFormat="1" x14ac:dyDescent="0.35">
      <c r="A59" s="1"/>
    </row>
    <row r="60" spans="1:1" s="2" customFormat="1" x14ac:dyDescent="0.35">
      <c r="A60" s="1"/>
    </row>
    <row r="61" spans="1:1" s="2" customFormat="1" x14ac:dyDescent="0.35">
      <c r="A61" s="1"/>
    </row>
    <row r="62" spans="1:1" s="2" customFormat="1" x14ac:dyDescent="0.35">
      <c r="A62" s="1"/>
    </row>
    <row r="63" spans="1:1" s="2" customFormat="1" x14ac:dyDescent="0.35">
      <c r="A63" s="1"/>
    </row>
    <row r="64" spans="1:1" s="2" customFormat="1" hidden="1" x14ac:dyDescent="0.35">
      <c r="A64" s="1"/>
    </row>
    <row r="65" spans="1:1" s="2" customFormat="1" hidden="1" x14ac:dyDescent="0.35">
      <c r="A65" s="1"/>
    </row>
    <row r="66" spans="1:1" s="2" customFormat="1" hidden="1" x14ac:dyDescent="0.35">
      <c r="A66" s="1"/>
    </row>
    <row r="67" spans="1:1" s="2" customFormat="1" hidden="1" x14ac:dyDescent="0.35">
      <c r="A67" s="1"/>
    </row>
    <row r="68" spans="1:1" s="2" customFormat="1" hidden="1" x14ac:dyDescent="0.35">
      <c r="A68" s="1"/>
    </row>
    <row r="69" spans="1:1" s="2" customFormat="1" hidden="1" x14ac:dyDescent="0.35">
      <c r="A69" s="1"/>
    </row>
    <row r="70" spans="1:1" s="2" customFormat="1" hidden="1" x14ac:dyDescent="0.35">
      <c r="A70" s="1"/>
    </row>
    <row r="71" spans="1:1" s="2" customFormat="1" hidden="1" x14ac:dyDescent="0.35">
      <c r="A71" s="1"/>
    </row>
    <row r="72" spans="1:1" s="2" customFormat="1" hidden="1" x14ac:dyDescent="0.35">
      <c r="A72" s="1"/>
    </row>
    <row r="73" spans="1:1" s="2" customFormat="1" hidden="1" x14ac:dyDescent="0.35">
      <c r="A73" s="1"/>
    </row>
    <row r="74" spans="1:1" s="2" customFormat="1" hidden="1" x14ac:dyDescent="0.35">
      <c r="A74" s="1"/>
    </row>
    <row r="75" spans="1:1" s="2" customFormat="1" hidden="1" x14ac:dyDescent="0.35">
      <c r="A75" s="1"/>
    </row>
    <row r="76" spans="1:1" s="2" customFormat="1" hidden="1" x14ac:dyDescent="0.35">
      <c r="A76" s="1"/>
    </row>
    <row r="77" spans="1:1" s="2" customFormat="1" hidden="1" x14ac:dyDescent="0.35">
      <c r="A77" s="1"/>
    </row>
    <row r="78" spans="1:1" s="2" customFormat="1" hidden="1" x14ac:dyDescent="0.35">
      <c r="A78" s="1"/>
    </row>
    <row r="79" spans="1:1" s="2" customFormat="1" hidden="1" x14ac:dyDescent="0.35">
      <c r="A79" s="1"/>
    </row>
    <row r="80" spans="1:1" s="2" customFormat="1" hidden="1" x14ac:dyDescent="0.35">
      <c r="A80" s="1"/>
    </row>
    <row r="81" spans="1:1" s="2" customFormat="1" hidden="1" x14ac:dyDescent="0.35">
      <c r="A81" s="1"/>
    </row>
    <row r="82" spans="1:1" s="2" customFormat="1" hidden="1" x14ac:dyDescent="0.35">
      <c r="A82" s="1"/>
    </row>
    <row r="83" spans="1:1" s="2" customFormat="1" hidden="1" x14ac:dyDescent="0.35">
      <c r="A83" s="1"/>
    </row>
    <row r="84" spans="1:1" s="2" customFormat="1" hidden="1" x14ac:dyDescent="0.35">
      <c r="A84" s="1"/>
    </row>
    <row r="85" spans="1:1" s="2" customFormat="1" hidden="1" x14ac:dyDescent="0.35">
      <c r="A85" s="1"/>
    </row>
    <row r="86" spans="1:1" s="2" customFormat="1" hidden="1" x14ac:dyDescent="0.35">
      <c r="A86" s="1"/>
    </row>
    <row r="87" spans="1:1" s="2" customFormat="1" hidden="1" x14ac:dyDescent="0.35">
      <c r="A87" s="1"/>
    </row>
    <row r="88" spans="1:1" s="2" customFormat="1" hidden="1" x14ac:dyDescent="0.35">
      <c r="A88" s="1"/>
    </row>
    <row r="89" spans="1:1" s="2" customFormat="1" hidden="1" x14ac:dyDescent="0.35">
      <c r="A89" s="1"/>
    </row>
    <row r="90" spans="1:1" s="2" customFormat="1" hidden="1" x14ac:dyDescent="0.35">
      <c r="A90" s="1"/>
    </row>
    <row r="91" spans="1:1" s="2" customFormat="1" hidden="1" x14ac:dyDescent="0.35">
      <c r="A91" s="1"/>
    </row>
    <row r="92" spans="1:1" s="2" customFormat="1" hidden="1" x14ac:dyDescent="0.35">
      <c r="A92" s="1"/>
    </row>
    <row r="93" spans="1:1" s="2" customFormat="1" hidden="1" x14ac:dyDescent="0.35">
      <c r="A93" s="1"/>
    </row>
    <row r="94" spans="1:1" s="2" customFormat="1" hidden="1" x14ac:dyDescent="0.35">
      <c r="A94" s="1"/>
    </row>
    <row r="95" spans="1:1" s="2" customFormat="1" hidden="1" x14ac:dyDescent="0.35">
      <c r="A95" s="1"/>
    </row>
    <row r="96" spans="1:1" s="2" customFormat="1" hidden="1" x14ac:dyDescent="0.35">
      <c r="A96" s="1"/>
    </row>
    <row r="97" spans="1:1" s="2" customFormat="1" hidden="1" x14ac:dyDescent="0.35">
      <c r="A97" s="1"/>
    </row>
    <row r="98" spans="1:1" s="2" customFormat="1" hidden="1" x14ac:dyDescent="0.35">
      <c r="A98" s="1"/>
    </row>
    <row r="99" spans="1:1" s="2" customFormat="1" hidden="1" x14ac:dyDescent="0.35">
      <c r="A99" s="1"/>
    </row>
    <row r="100" spans="1:1" s="2" customFormat="1" hidden="1" x14ac:dyDescent="0.35">
      <c r="A100" s="1"/>
    </row>
    <row r="101" spans="1:1" s="2" customFormat="1" hidden="1" x14ac:dyDescent="0.35">
      <c r="A101" s="1"/>
    </row>
    <row r="102" spans="1:1" s="2" customFormat="1" hidden="1" x14ac:dyDescent="0.35">
      <c r="A102" s="1"/>
    </row>
    <row r="103" spans="1:1" s="2" customFormat="1" hidden="1" x14ac:dyDescent="0.35">
      <c r="A103" s="1"/>
    </row>
    <row r="104" spans="1:1" s="2" customFormat="1" hidden="1" x14ac:dyDescent="0.35">
      <c r="A104" s="1"/>
    </row>
    <row r="105" spans="1:1" s="2" customFormat="1" hidden="1" x14ac:dyDescent="0.35">
      <c r="A105" s="1"/>
    </row>
    <row r="106" spans="1:1" s="2" customFormat="1" hidden="1" x14ac:dyDescent="0.35">
      <c r="A106" s="1"/>
    </row>
    <row r="107" spans="1:1" s="2" customFormat="1" hidden="1" x14ac:dyDescent="0.35">
      <c r="A107" s="1"/>
    </row>
    <row r="108" spans="1:1" s="2" customFormat="1" hidden="1" x14ac:dyDescent="0.35">
      <c r="A108" s="1"/>
    </row>
    <row r="109" spans="1:1" s="2" customFormat="1" hidden="1" x14ac:dyDescent="0.35">
      <c r="A109" s="1"/>
    </row>
    <row r="110" spans="1:1" s="2" customFormat="1" hidden="1" x14ac:dyDescent="0.35">
      <c r="A110" s="1"/>
    </row>
    <row r="111" spans="1:1" s="2" customFormat="1" hidden="1" x14ac:dyDescent="0.35">
      <c r="A111" s="1"/>
    </row>
    <row r="112" spans="1:1" s="2" customFormat="1" hidden="1" x14ac:dyDescent="0.35">
      <c r="A112" s="1"/>
    </row>
    <row r="113" spans="1:1" s="2" customFormat="1" hidden="1" x14ac:dyDescent="0.35">
      <c r="A113" s="1"/>
    </row>
    <row r="114" spans="1:1" s="2" customFormat="1" hidden="1" x14ac:dyDescent="0.35">
      <c r="A114" s="1"/>
    </row>
    <row r="115" spans="1:1" s="2" customFormat="1" hidden="1" x14ac:dyDescent="0.35">
      <c r="A115" s="1"/>
    </row>
    <row r="116" spans="1:1" s="2" customFormat="1" hidden="1" x14ac:dyDescent="0.35">
      <c r="A116" s="1"/>
    </row>
    <row r="117" spans="1:1" s="2" customFormat="1" hidden="1" x14ac:dyDescent="0.35">
      <c r="A117" s="1"/>
    </row>
    <row r="118" spans="1:1" s="2" customFormat="1" hidden="1" x14ac:dyDescent="0.35">
      <c r="A118" s="1"/>
    </row>
    <row r="119" spans="1:1" s="2" customFormat="1" hidden="1" x14ac:dyDescent="0.35">
      <c r="A119" s="1"/>
    </row>
    <row r="120" spans="1:1" s="2" customFormat="1" hidden="1" x14ac:dyDescent="0.35">
      <c r="A120" s="1"/>
    </row>
    <row r="121" spans="1:1" s="2" customFormat="1" hidden="1" x14ac:dyDescent="0.35">
      <c r="A121" s="1"/>
    </row>
    <row r="122" spans="1:1" s="2" customFormat="1" hidden="1" x14ac:dyDescent="0.35">
      <c r="A122" s="1"/>
    </row>
    <row r="123" spans="1:1" s="2" customFormat="1" hidden="1" x14ac:dyDescent="0.35">
      <c r="A123" s="1"/>
    </row>
    <row r="124" spans="1:1" s="2" customFormat="1" hidden="1" x14ac:dyDescent="0.35">
      <c r="A124" s="1"/>
    </row>
    <row r="125" spans="1:1" s="2" customFormat="1" hidden="1" x14ac:dyDescent="0.35">
      <c r="A125" s="1"/>
    </row>
    <row r="126" spans="1:1" s="2" customFormat="1" hidden="1" x14ac:dyDescent="0.35">
      <c r="A126" s="1"/>
    </row>
    <row r="127" spans="1:1" s="2" customFormat="1" hidden="1" x14ac:dyDescent="0.35">
      <c r="A127" s="1"/>
    </row>
    <row r="128" spans="1:1" s="2" customFormat="1" hidden="1" x14ac:dyDescent="0.35">
      <c r="A128" s="1"/>
    </row>
    <row r="129" spans="1:1" s="2" customFormat="1" hidden="1" x14ac:dyDescent="0.35">
      <c r="A129" s="1"/>
    </row>
    <row r="130" spans="1:1" s="2" customFormat="1" hidden="1" x14ac:dyDescent="0.35">
      <c r="A130" s="1"/>
    </row>
    <row r="131" spans="1:1" s="2" customFormat="1" hidden="1" x14ac:dyDescent="0.35">
      <c r="A131" s="1"/>
    </row>
    <row r="132" spans="1:1" s="2" customFormat="1" hidden="1" x14ac:dyDescent="0.35">
      <c r="A132" s="1"/>
    </row>
    <row r="133" spans="1:1" s="2" customFormat="1" hidden="1" x14ac:dyDescent="0.35">
      <c r="A133" s="1"/>
    </row>
    <row r="134" spans="1:1" s="2" customFormat="1" hidden="1" x14ac:dyDescent="0.35">
      <c r="A134" s="1"/>
    </row>
    <row r="135" spans="1:1" s="2" customFormat="1" hidden="1" x14ac:dyDescent="0.35">
      <c r="A135" s="1"/>
    </row>
    <row r="136" spans="1:1" s="2" customFormat="1" hidden="1" x14ac:dyDescent="0.35">
      <c r="A136" s="1"/>
    </row>
  </sheetData>
  <mergeCells count="2">
    <mergeCell ref="C2:I2"/>
    <mergeCell ref="C3:I3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21E88-8E18-4CB7-8846-3948DCF42732}">
  <sheetPr>
    <tabColor rgb="FF22C55E"/>
  </sheetPr>
  <dimension ref="A1:M296"/>
  <sheetViews>
    <sheetView showGridLines="0" showRowColHeaders="0" zoomScale="75" zoomScaleNormal="75" workbookViewId="0">
      <selection activeCell="L78" sqref="L7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x14ac:dyDescent="0.35"/>
  <cols>
    <col min="1" max="1" width="17.81640625" bestFit="1" customWidth="1"/>
    <col min="2" max="2" width="18.81640625" bestFit="1" customWidth="1"/>
    <col min="3" max="3" width="9.453125" bestFit="1" customWidth="1"/>
    <col min="4" max="4" width="14.54296875" bestFit="1" customWidth="1"/>
    <col min="5" max="5" width="18" bestFit="1" customWidth="1"/>
    <col min="6" max="6" width="14.7265625" bestFit="1" customWidth="1"/>
    <col min="7" max="7" width="22" bestFit="1" customWidth="1"/>
    <col min="8" max="8" width="20.54296875" bestFit="1" customWidth="1"/>
    <col min="9" max="9" width="20.54296875" customWidth="1"/>
    <col min="10" max="10" width="16.7265625" bestFit="1" customWidth="1"/>
    <col min="11" max="11" width="21.26953125" bestFit="1" customWidth="1"/>
    <col min="12" max="12" width="12.7265625" bestFit="1" customWidth="1"/>
    <col min="13" max="13" width="10.54296875" bestFit="1" customWidth="1"/>
    <col min="14" max="16384" width="8.7265625" hidden="1"/>
  </cols>
  <sheetData>
    <row r="1" spans="1:13" ht="29" x14ac:dyDescent="0.35">
      <c r="A1" s="7" t="s">
        <v>10</v>
      </c>
      <c r="B1" s="7" t="s">
        <v>11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0</v>
      </c>
      <c r="H1" s="7" t="s">
        <v>16</v>
      </c>
      <c r="I1" s="7" t="s">
        <v>17</v>
      </c>
      <c r="J1" s="7" t="s">
        <v>18</v>
      </c>
      <c r="K1" s="7" t="s">
        <v>19</v>
      </c>
      <c r="L1" s="7" t="s">
        <v>20</v>
      </c>
      <c r="M1" s="7" t="s">
        <v>21</v>
      </c>
    </row>
    <row r="2" spans="1:13" ht="16.5" customHeight="1" x14ac:dyDescent="0.35">
      <c r="A2" s="8">
        <v>3231</v>
      </c>
      <c r="B2" s="8" t="s">
        <v>22</v>
      </c>
      <c r="C2" s="8" t="s">
        <v>9</v>
      </c>
      <c r="D2" s="9">
        <v>45292</v>
      </c>
      <c r="E2" s="8" t="s">
        <v>5</v>
      </c>
      <c r="F2" s="10">
        <v>15</v>
      </c>
      <c r="G2" s="8" t="s">
        <v>23</v>
      </c>
      <c r="H2" s="8" t="s">
        <v>5</v>
      </c>
      <c r="I2" s="10">
        <v>30</v>
      </c>
      <c r="J2" s="8" t="s">
        <v>5</v>
      </c>
      <c r="K2" s="10">
        <v>20</v>
      </c>
      <c r="L2" s="10">
        <v>5</v>
      </c>
      <c r="M2" s="10">
        <v>60</v>
      </c>
    </row>
    <row r="3" spans="1:13" ht="16.5" customHeight="1" x14ac:dyDescent="0.35">
      <c r="A3" s="8">
        <v>3232</v>
      </c>
      <c r="B3" s="8" t="s">
        <v>24</v>
      </c>
      <c r="C3" s="8" t="s">
        <v>7</v>
      </c>
      <c r="D3" s="9">
        <v>45306</v>
      </c>
      <c r="E3" s="8" t="s">
        <v>4</v>
      </c>
      <c r="F3" s="10">
        <v>5</v>
      </c>
      <c r="G3" s="8" t="s">
        <v>1</v>
      </c>
      <c r="H3" s="8" t="s">
        <v>4</v>
      </c>
      <c r="I3" s="10" t="s">
        <v>25</v>
      </c>
      <c r="J3" s="8" t="s">
        <v>4</v>
      </c>
      <c r="K3" s="10">
        <v>0</v>
      </c>
      <c r="L3" s="10">
        <v>0</v>
      </c>
      <c r="M3" s="10">
        <v>5</v>
      </c>
    </row>
    <row r="4" spans="1:13" ht="16.5" customHeight="1" x14ac:dyDescent="0.35">
      <c r="A4" s="8">
        <v>3233</v>
      </c>
      <c r="B4" s="8" t="s">
        <v>26</v>
      </c>
      <c r="C4" s="8" t="s">
        <v>8</v>
      </c>
      <c r="D4" s="9">
        <v>45332</v>
      </c>
      <c r="E4" s="8" t="s">
        <v>5</v>
      </c>
      <c r="F4" s="10">
        <v>10</v>
      </c>
      <c r="G4" s="8" t="s">
        <v>27</v>
      </c>
      <c r="H4" s="8" t="s">
        <v>4</v>
      </c>
      <c r="I4" s="10" t="s">
        <v>25</v>
      </c>
      <c r="J4" s="8" t="s">
        <v>5</v>
      </c>
      <c r="K4" s="10">
        <v>20</v>
      </c>
      <c r="L4" s="10">
        <v>10</v>
      </c>
      <c r="M4" s="10">
        <v>20</v>
      </c>
    </row>
    <row r="5" spans="1:13" ht="16.5" customHeight="1" x14ac:dyDescent="0.35">
      <c r="A5" s="8">
        <v>3234</v>
      </c>
      <c r="B5" s="8" t="s">
        <v>28</v>
      </c>
      <c r="C5" s="8" t="s">
        <v>9</v>
      </c>
      <c r="D5" s="9">
        <v>45342</v>
      </c>
      <c r="E5" s="8" t="s">
        <v>4</v>
      </c>
      <c r="F5" s="10">
        <v>15</v>
      </c>
      <c r="G5" s="8" t="s">
        <v>23</v>
      </c>
      <c r="H5" s="8" t="s">
        <v>5</v>
      </c>
      <c r="I5" s="10">
        <v>30</v>
      </c>
      <c r="J5" s="8" t="s">
        <v>5</v>
      </c>
      <c r="K5" s="10">
        <v>20</v>
      </c>
      <c r="L5" s="10">
        <v>3</v>
      </c>
      <c r="M5" s="10">
        <v>62</v>
      </c>
    </row>
    <row r="6" spans="1:13" ht="16.5" customHeight="1" x14ac:dyDescent="0.35">
      <c r="A6" s="8">
        <v>3235</v>
      </c>
      <c r="B6" s="8" t="s">
        <v>29</v>
      </c>
      <c r="C6" s="8" t="s">
        <v>7</v>
      </c>
      <c r="D6" s="9">
        <v>45356</v>
      </c>
      <c r="E6" s="8" t="s">
        <v>5</v>
      </c>
      <c r="F6" s="10">
        <v>5</v>
      </c>
      <c r="G6" s="8" t="s">
        <v>23</v>
      </c>
      <c r="H6" s="8" t="s">
        <v>4</v>
      </c>
      <c r="I6" s="10" t="s">
        <v>25</v>
      </c>
      <c r="J6" s="8" t="s">
        <v>4</v>
      </c>
      <c r="K6" s="10">
        <v>0</v>
      </c>
      <c r="L6" s="10">
        <v>1</v>
      </c>
      <c r="M6" s="10">
        <v>4</v>
      </c>
    </row>
    <row r="7" spans="1:13" ht="16.5" customHeight="1" x14ac:dyDescent="0.35">
      <c r="A7" s="8">
        <v>3236</v>
      </c>
      <c r="B7" s="8" t="s">
        <v>30</v>
      </c>
      <c r="C7" s="8" t="s">
        <v>8</v>
      </c>
      <c r="D7" s="9">
        <v>45353</v>
      </c>
      <c r="E7" s="8" t="s">
        <v>4</v>
      </c>
      <c r="F7" s="10">
        <v>10</v>
      </c>
      <c r="G7" s="8" t="s">
        <v>23</v>
      </c>
      <c r="H7" s="8" t="s">
        <v>4</v>
      </c>
      <c r="I7" s="10" t="s">
        <v>25</v>
      </c>
      <c r="J7" s="8" t="s">
        <v>5</v>
      </c>
      <c r="K7" s="10">
        <v>20</v>
      </c>
      <c r="L7" s="10">
        <v>2</v>
      </c>
      <c r="M7" s="10">
        <v>28</v>
      </c>
    </row>
    <row r="8" spans="1:13" ht="16.5" customHeight="1" x14ac:dyDescent="0.35">
      <c r="A8" s="8">
        <v>3237</v>
      </c>
      <c r="B8" s="8" t="s">
        <v>31</v>
      </c>
      <c r="C8" s="8" t="s">
        <v>9</v>
      </c>
      <c r="D8" s="9">
        <v>45354</v>
      </c>
      <c r="E8" s="8" t="s">
        <v>5</v>
      </c>
      <c r="F8" s="10">
        <v>15</v>
      </c>
      <c r="G8" s="8" t="s">
        <v>27</v>
      </c>
      <c r="H8" s="8" t="s">
        <v>5</v>
      </c>
      <c r="I8" s="10">
        <v>30</v>
      </c>
      <c r="J8" s="8" t="s">
        <v>5</v>
      </c>
      <c r="K8" s="10">
        <v>20</v>
      </c>
      <c r="L8" s="10">
        <v>10</v>
      </c>
      <c r="M8" s="10">
        <v>55</v>
      </c>
    </row>
    <row r="9" spans="1:13" ht="16.5" customHeight="1" x14ac:dyDescent="0.35">
      <c r="A9" s="8">
        <v>3238</v>
      </c>
      <c r="B9" s="8" t="s">
        <v>32</v>
      </c>
      <c r="C9" s="8" t="s">
        <v>7</v>
      </c>
      <c r="D9" s="9">
        <v>45355</v>
      </c>
      <c r="E9" s="8" t="s">
        <v>5</v>
      </c>
      <c r="F9" s="10">
        <v>5</v>
      </c>
      <c r="G9" s="8" t="s">
        <v>1</v>
      </c>
      <c r="H9" s="8" t="s">
        <v>4</v>
      </c>
      <c r="I9" s="10" t="s">
        <v>25</v>
      </c>
      <c r="J9" s="8" t="s">
        <v>4</v>
      </c>
      <c r="K9" s="10">
        <v>0</v>
      </c>
      <c r="L9" s="10">
        <v>0</v>
      </c>
      <c r="M9" s="10">
        <v>5</v>
      </c>
    </row>
    <row r="10" spans="1:13" ht="16.5" customHeight="1" x14ac:dyDescent="0.35">
      <c r="A10" s="8">
        <v>3239</v>
      </c>
      <c r="B10" s="8" t="s">
        <v>33</v>
      </c>
      <c r="C10" s="8" t="s">
        <v>9</v>
      </c>
      <c r="D10" s="9">
        <v>45356</v>
      </c>
      <c r="E10" s="8" t="s">
        <v>4</v>
      </c>
      <c r="F10" s="10">
        <v>15</v>
      </c>
      <c r="G10" s="8" t="s">
        <v>23</v>
      </c>
      <c r="H10" s="8" t="s">
        <v>5</v>
      </c>
      <c r="I10" s="10">
        <v>30</v>
      </c>
      <c r="J10" s="8" t="s">
        <v>5</v>
      </c>
      <c r="K10" s="10">
        <v>20</v>
      </c>
      <c r="L10" s="10">
        <v>5</v>
      </c>
      <c r="M10" s="10">
        <v>60</v>
      </c>
    </row>
    <row r="11" spans="1:13" ht="16.5" customHeight="1" x14ac:dyDescent="0.35">
      <c r="A11" s="8">
        <v>3240</v>
      </c>
      <c r="B11" s="8" t="s">
        <v>34</v>
      </c>
      <c r="C11" s="8" t="s">
        <v>8</v>
      </c>
      <c r="D11" s="9">
        <v>45357</v>
      </c>
      <c r="E11" s="8" t="s">
        <v>5</v>
      </c>
      <c r="F11" s="10">
        <v>10</v>
      </c>
      <c r="G11" s="8" t="s">
        <v>27</v>
      </c>
      <c r="H11" s="8" t="s">
        <v>4</v>
      </c>
      <c r="I11" s="10" t="s">
        <v>25</v>
      </c>
      <c r="J11" s="8" t="s">
        <v>5</v>
      </c>
      <c r="K11" s="10">
        <v>20</v>
      </c>
      <c r="L11" s="10">
        <v>15</v>
      </c>
      <c r="M11" s="10">
        <v>15</v>
      </c>
    </row>
    <row r="12" spans="1:13" ht="16.5" customHeight="1" x14ac:dyDescent="0.35">
      <c r="A12" s="8">
        <v>3241</v>
      </c>
      <c r="B12" s="8" t="s">
        <v>35</v>
      </c>
      <c r="C12" s="8" t="s">
        <v>7</v>
      </c>
      <c r="D12" s="9">
        <v>45358</v>
      </c>
      <c r="E12" s="8" t="s">
        <v>4</v>
      </c>
      <c r="F12" s="10">
        <v>5</v>
      </c>
      <c r="G12" s="8" t="s">
        <v>23</v>
      </c>
      <c r="H12" s="8" t="s">
        <v>4</v>
      </c>
      <c r="I12" s="10" t="s">
        <v>25</v>
      </c>
      <c r="J12" s="8" t="s">
        <v>4</v>
      </c>
      <c r="K12" s="10">
        <v>0</v>
      </c>
      <c r="L12" s="10">
        <v>1</v>
      </c>
      <c r="M12" s="10">
        <v>4</v>
      </c>
    </row>
    <row r="13" spans="1:13" ht="16.5" customHeight="1" x14ac:dyDescent="0.35">
      <c r="A13" s="8">
        <v>3242</v>
      </c>
      <c r="B13" s="8" t="s">
        <v>36</v>
      </c>
      <c r="C13" s="8" t="s">
        <v>9</v>
      </c>
      <c r="D13" s="9">
        <v>45359</v>
      </c>
      <c r="E13" s="8" t="s">
        <v>5</v>
      </c>
      <c r="F13" s="10">
        <v>15</v>
      </c>
      <c r="G13" s="8" t="s">
        <v>1</v>
      </c>
      <c r="H13" s="8" t="s">
        <v>5</v>
      </c>
      <c r="I13" s="10">
        <v>30</v>
      </c>
      <c r="J13" s="8" t="s">
        <v>5</v>
      </c>
      <c r="K13" s="10">
        <v>20</v>
      </c>
      <c r="L13" s="10">
        <v>20</v>
      </c>
      <c r="M13" s="10">
        <v>45</v>
      </c>
    </row>
    <row r="14" spans="1:13" ht="16.5" customHeight="1" x14ac:dyDescent="0.35">
      <c r="A14" s="8">
        <v>3243</v>
      </c>
      <c r="B14" s="8" t="s">
        <v>37</v>
      </c>
      <c r="C14" s="8" t="s">
        <v>8</v>
      </c>
      <c r="D14" s="9">
        <v>45360</v>
      </c>
      <c r="E14" s="8" t="s">
        <v>4</v>
      </c>
      <c r="F14" s="10">
        <v>10</v>
      </c>
      <c r="G14" s="8" t="s">
        <v>23</v>
      </c>
      <c r="H14" s="8" t="s">
        <v>4</v>
      </c>
      <c r="I14" s="10" t="s">
        <v>25</v>
      </c>
      <c r="J14" s="8" t="s">
        <v>5</v>
      </c>
      <c r="K14" s="10">
        <v>20</v>
      </c>
      <c r="L14" s="10">
        <v>10</v>
      </c>
      <c r="M14" s="10">
        <v>20</v>
      </c>
    </row>
    <row r="15" spans="1:13" ht="16.5" customHeight="1" x14ac:dyDescent="0.35">
      <c r="A15" s="8">
        <v>3244</v>
      </c>
      <c r="B15" s="8" t="s">
        <v>38</v>
      </c>
      <c r="C15" s="8" t="s">
        <v>7</v>
      </c>
      <c r="D15" s="9">
        <v>45361</v>
      </c>
      <c r="E15" s="8" t="s">
        <v>5</v>
      </c>
      <c r="F15" s="10">
        <v>5</v>
      </c>
      <c r="G15" s="8" t="s">
        <v>27</v>
      </c>
      <c r="H15" s="8" t="s">
        <v>4</v>
      </c>
      <c r="I15" s="10" t="s">
        <v>25</v>
      </c>
      <c r="J15" s="8" t="s">
        <v>4</v>
      </c>
      <c r="K15" s="10">
        <v>0</v>
      </c>
      <c r="L15" s="10">
        <v>0</v>
      </c>
      <c r="M15" s="10">
        <v>5</v>
      </c>
    </row>
    <row r="16" spans="1:13" ht="16.5" customHeight="1" x14ac:dyDescent="0.35">
      <c r="A16" s="8">
        <v>3245</v>
      </c>
      <c r="B16" s="8" t="s">
        <v>39</v>
      </c>
      <c r="C16" s="8" t="s">
        <v>9</v>
      </c>
      <c r="D16" s="9">
        <v>45362</v>
      </c>
      <c r="E16" s="8" t="s">
        <v>4</v>
      </c>
      <c r="F16" s="10">
        <v>15</v>
      </c>
      <c r="G16" s="8" t="s">
        <v>23</v>
      </c>
      <c r="H16" s="8" t="s">
        <v>5</v>
      </c>
      <c r="I16" s="10">
        <v>30</v>
      </c>
      <c r="J16" s="8" t="s">
        <v>5</v>
      </c>
      <c r="K16" s="10">
        <v>20</v>
      </c>
      <c r="L16" s="10">
        <v>8</v>
      </c>
      <c r="M16" s="10">
        <v>57</v>
      </c>
    </row>
    <row r="17" spans="1:13" ht="16.5" customHeight="1" x14ac:dyDescent="0.35">
      <c r="A17" s="8">
        <v>3246</v>
      </c>
      <c r="B17" s="8" t="s">
        <v>40</v>
      </c>
      <c r="C17" s="8" t="s">
        <v>8</v>
      </c>
      <c r="D17" s="9">
        <v>45363</v>
      </c>
      <c r="E17" s="8" t="s">
        <v>5</v>
      </c>
      <c r="F17" s="10">
        <v>10</v>
      </c>
      <c r="G17" s="8" t="s">
        <v>1</v>
      </c>
      <c r="H17" s="8" t="s">
        <v>4</v>
      </c>
      <c r="I17" s="10" t="s">
        <v>25</v>
      </c>
      <c r="J17" s="8" t="s">
        <v>5</v>
      </c>
      <c r="K17" s="10">
        <v>20</v>
      </c>
      <c r="L17" s="10">
        <v>12</v>
      </c>
      <c r="M17" s="10">
        <v>18</v>
      </c>
    </row>
    <row r="18" spans="1:13" ht="16.5" customHeight="1" x14ac:dyDescent="0.35">
      <c r="A18" s="8">
        <v>3247</v>
      </c>
      <c r="B18" s="8" t="s">
        <v>41</v>
      </c>
      <c r="C18" s="8" t="s">
        <v>7</v>
      </c>
      <c r="D18" s="9">
        <v>45364</v>
      </c>
      <c r="E18" s="8" t="s">
        <v>4</v>
      </c>
      <c r="F18" s="10">
        <v>5</v>
      </c>
      <c r="G18" s="8" t="s">
        <v>23</v>
      </c>
      <c r="H18" s="8" t="s">
        <v>4</v>
      </c>
      <c r="I18" s="10" t="s">
        <v>25</v>
      </c>
      <c r="J18" s="8" t="s">
        <v>4</v>
      </c>
      <c r="K18" s="10">
        <v>0</v>
      </c>
      <c r="L18" s="10">
        <v>2</v>
      </c>
      <c r="M18" s="10">
        <v>3</v>
      </c>
    </row>
    <row r="19" spans="1:13" ht="16.5" customHeight="1" x14ac:dyDescent="0.35">
      <c r="A19" s="8">
        <v>3248</v>
      </c>
      <c r="B19" s="8" t="s">
        <v>42</v>
      </c>
      <c r="C19" s="8" t="s">
        <v>9</v>
      </c>
      <c r="D19" s="9">
        <v>45365</v>
      </c>
      <c r="E19" s="8" t="s">
        <v>5</v>
      </c>
      <c r="F19" s="10">
        <v>15</v>
      </c>
      <c r="G19" s="8" t="s">
        <v>27</v>
      </c>
      <c r="H19" s="8" t="s">
        <v>5</v>
      </c>
      <c r="I19" s="10">
        <v>30</v>
      </c>
      <c r="J19" s="8" t="s">
        <v>5</v>
      </c>
      <c r="K19" s="10">
        <v>20</v>
      </c>
      <c r="L19" s="10">
        <v>7</v>
      </c>
      <c r="M19" s="10">
        <v>58</v>
      </c>
    </row>
    <row r="20" spans="1:13" ht="16.5" customHeight="1" x14ac:dyDescent="0.35">
      <c r="A20" s="8">
        <v>3249</v>
      </c>
      <c r="B20" s="8" t="s">
        <v>43</v>
      </c>
      <c r="C20" s="8" t="s">
        <v>8</v>
      </c>
      <c r="D20" s="9">
        <v>45366</v>
      </c>
      <c r="E20" s="8" t="s">
        <v>4</v>
      </c>
      <c r="F20" s="10">
        <v>10</v>
      </c>
      <c r="G20" s="8" t="s">
        <v>23</v>
      </c>
      <c r="H20" s="8" t="s">
        <v>4</v>
      </c>
      <c r="I20" s="10" t="s">
        <v>25</v>
      </c>
      <c r="J20" s="8" t="s">
        <v>5</v>
      </c>
      <c r="K20" s="10">
        <v>20</v>
      </c>
      <c r="L20" s="10">
        <v>5</v>
      </c>
      <c r="M20" s="10">
        <v>25</v>
      </c>
    </row>
    <row r="21" spans="1:13" ht="16.5" customHeight="1" x14ac:dyDescent="0.35">
      <c r="A21" s="8">
        <v>3250</v>
      </c>
      <c r="B21" s="8" t="s">
        <v>44</v>
      </c>
      <c r="C21" s="8" t="s">
        <v>7</v>
      </c>
      <c r="D21" s="9">
        <v>45367</v>
      </c>
      <c r="E21" s="8" t="s">
        <v>5</v>
      </c>
      <c r="F21" s="10">
        <v>5</v>
      </c>
      <c r="G21" s="8" t="s">
        <v>1</v>
      </c>
      <c r="H21" s="8" t="s">
        <v>4</v>
      </c>
      <c r="I21" s="10" t="s">
        <v>25</v>
      </c>
      <c r="J21" s="8" t="s">
        <v>4</v>
      </c>
      <c r="K21" s="10">
        <v>0</v>
      </c>
      <c r="L21" s="10">
        <v>0</v>
      </c>
      <c r="M21" s="10">
        <v>5</v>
      </c>
    </row>
    <row r="22" spans="1:13" ht="16.5" customHeight="1" x14ac:dyDescent="0.35">
      <c r="A22" s="8">
        <v>3251</v>
      </c>
      <c r="B22" s="8" t="s">
        <v>45</v>
      </c>
      <c r="C22" s="8" t="s">
        <v>9</v>
      </c>
      <c r="D22" s="9">
        <v>45368</v>
      </c>
      <c r="E22" s="8" t="s">
        <v>4</v>
      </c>
      <c r="F22" s="10">
        <v>15</v>
      </c>
      <c r="G22" s="8" t="s">
        <v>23</v>
      </c>
      <c r="H22" s="8" t="s">
        <v>5</v>
      </c>
      <c r="I22" s="10">
        <v>30</v>
      </c>
      <c r="J22" s="8" t="s">
        <v>5</v>
      </c>
      <c r="K22" s="10">
        <v>20</v>
      </c>
      <c r="L22" s="10">
        <v>3</v>
      </c>
      <c r="M22" s="10">
        <v>62</v>
      </c>
    </row>
    <row r="23" spans="1:13" ht="16.5" customHeight="1" x14ac:dyDescent="0.35">
      <c r="A23" s="8">
        <v>3252</v>
      </c>
      <c r="B23" s="8" t="s">
        <v>46</v>
      </c>
      <c r="C23" s="8" t="s">
        <v>8</v>
      </c>
      <c r="D23" s="9">
        <v>45369</v>
      </c>
      <c r="E23" s="8" t="s">
        <v>5</v>
      </c>
      <c r="F23" s="10">
        <v>10</v>
      </c>
      <c r="G23" s="8" t="s">
        <v>27</v>
      </c>
      <c r="H23" s="8" t="s">
        <v>4</v>
      </c>
      <c r="I23" s="10" t="s">
        <v>25</v>
      </c>
      <c r="J23" s="8" t="s">
        <v>5</v>
      </c>
      <c r="K23" s="10">
        <v>20</v>
      </c>
      <c r="L23" s="10">
        <v>15</v>
      </c>
      <c r="M23" s="10">
        <v>15</v>
      </c>
    </row>
    <row r="24" spans="1:13" ht="16.5" customHeight="1" x14ac:dyDescent="0.35">
      <c r="A24" s="8">
        <v>3253</v>
      </c>
      <c r="B24" s="8" t="s">
        <v>47</v>
      </c>
      <c r="C24" s="8" t="s">
        <v>7</v>
      </c>
      <c r="D24" s="9">
        <v>45370</v>
      </c>
      <c r="E24" s="8" t="s">
        <v>4</v>
      </c>
      <c r="F24" s="10">
        <v>5</v>
      </c>
      <c r="G24" s="8" t="s">
        <v>23</v>
      </c>
      <c r="H24" s="8" t="s">
        <v>4</v>
      </c>
      <c r="I24" s="10" t="s">
        <v>25</v>
      </c>
      <c r="J24" s="8" t="s">
        <v>4</v>
      </c>
      <c r="K24" s="10">
        <v>0</v>
      </c>
      <c r="L24" s="10">
        <v>1</v>
      </c>
      <c r="M24" s="10">
        <v>4</v>
      </c>
    </row>
    <row r="25" spans="1:13" ht="16.5" customHeight="1" x14ac:dyDescent="0.35">
      <c r="A25" s="8">
        <v>3254</v>
      </c>
      <c r="B25" s="8" t="s">
        <v>48</v>
      </c>
      <c r="C25" s="8" t="s">
        <v>9</v>
      </c>
      <c r="D25" s="9">
        <v>45371</v>
      </c>
      <c r="E25" s="8" t="s">
        <v>5</v>
      </c>
      <c r="F25" s="10">
        <v>15</v>
      </c>
      <c r="G25" s="8" t="s">
        <v>1</v>
      </c>
      <c r="H25" s="8" t="s">
        <v>5</v>
      </c>
      <c r="I25" s="10">
        <v>30</v>
      </c>
      <c r="J25" s="8" t="s">
        <v>5</v>
      </c>
      <c r="K25" s="10">
        <v>20</v>
      </c>
      <c r="L25" s="10">
        <v>20</v>
      </c>
      <c r="M25" s="10">
        <v>45</v>
      </c>
    </row>
    <row r="26" spans="1:13" ht="16.5" customHeight="1" x14ac:dyDescent="0.35">
      <c r="A26" s="8">
        <v>3255</v>
      </c>
      <c r="B26" s="8" t="s">
        <v>49</v>
      </c>
      <c r="C26" s="8" t="s">
        <v>8</v>
      </c>
      <c r="D26" s="9">
        <v>45372</v>
      </c>
      <c r="E26" s="8" t="s">
        <v>4</v>
      </c>
      <c r="F26" s="10">
        <v>10</v>
      </c>
      <c r="G26" s="8" t="s">
        <v>23</v>
      </c>
      <c r="H26" s="8" t="s">
        <v>4</v>
      </c>
      <c r="I26" s="10" t="s">
        <v>25</v>
      </c>
      <c r="J26" s="8" t="s">
        <v>5</v>
      </c>
      <c r="K26" s="10">
        <v>20</v>
      </c>
      <c r="L26" s="10">
        <v>10</v>
      </c>
      <c r="M26" s="10">
        <v>20</v>
      </c>
    </row>
    <row r="27" spans="1:13" ht="16.5" customHeight="1" x14ac:dyDescent="0.35">
      <c r="A27" s="8">
        <v>3256</v>
      </c>
      <c r="B27" s="8" t="s">
        <v>50</v>
      </c>
      <c r="C27" s="8" t="s">
        <v>7</v>
      </c>
      <c r="D27" s="9">
        <v>45373</v>
      </c>
      <c r="E27" s="8" t="s">
        <v>5</v>
      </c>
      <c r="F27" s="10">
        <v>5</v>
      </c>
      <c r="G27" s="8" t="s">
        <v>27</v>
      </c>
      <c r="H27" s="8" t="s">
        <v>4</v>
      </c>
      <c r="I27" s="10" t="s">
        <v>25</v>
      </c>
      <c r="J27" s="8" t="s">
        <v>4</v>
      </c>
      <c r="K27" s="10">
        <v>0</v>
      </c>
      <c r="L27" s="10">
        <v>0</v>
      </c>
      <c r="M27" s="10">
        <v>5</v>
      </c>
    </row>
    <row r="28" spans="1:13" ht="16.5" customHeight="1" x14ac:dyDescent="0.35">
      <c r="A28" s="8">
        <v>3257</v>
      </c>
      <c r="B28" s="8" t="s">
        <v>51</v>
      </c>
      <c r="C28" s="8" t="s">
        <v>9</v>
      </c>
      <c r="D28" s="9">
        <v>45374</v>
      </c>
      <c r="E28" s="8" t="s">
        <v>4</v>
      </c>
      <c r="F28" s="10">
        <v>15</v>
      </c>
      <c r="G28" s="8" t="s">
        <v>23</v>
      </c>
      <c r="H28" s="8" t="s">
        <v>5</v>
      </c>
      <c r="I28" s="10">
        <v>30</v>
      </c>
      <c r="J28" s="8" t="s">
        <v>5</v>
      </c>
      <c r="K28" s="10">
        <v>20</v>
      </c>
      <c r="L28" s="10">
        <v>5</v>
      </c>
      <c r="M28" s="10">
        <v>60</v>
      </c>
    </row>
    <row r="29" spans="1:13" ht="16.5" customHeight="1" x14ac:dyDescent="0.35">
      <c r="A29" s="8">
        <v>3258</v>
      </c>
      <c r="B29" s="8" t="s">
        <v>52</v>
      </c>
      <c r="C29" s="8" t="s">
        <v>8</v>
      </c>
      <c r="D29" s="9">
        <v>45375</v>
      </c>
      <c r="E29" s="8" t="s">
        <v>5</v>
      </c>
      <c r="F29" s="10">
        <v>10</v>
      </c>
      <c r="G29" s="8" t="s">
        <v>1</v>
      </c>
      <c r="H29" s="8" t="s">
        <v>4</v>
      </c>
      <c r="I29" s="10" t="s">
        <v>25</v>
      </c>
      <c r="J29" s="8" t="s">
        <v>5</v>
      </c>
      <c r="K29" s="10">
        <v>20</v>
      </c>
      <c r="L29" s="10">
        <v>15</v>
      </c>
      <c r="M29" s="10">
        <v>15</v>
      </c>
    </row>
    <row r="30" spans="1:13" ht="16.5" customHeight="1" x14ac:dyDescent="0.35">
      <c r="A30" s="8">
        <v>3259</v>
      </c>
      <c r="B30" s="8" t="s">
        <v>53</v>
      </c>
      <c r="C30" s="8" t="s">
        <v>7</v>
      </c>
      <c r="D30" s="9">
        <v>45376</v>
      </c>
      <c r="E30" s="8" t="s">
        <v>4</v>
      </c>
      <c r="F30" s="10">
        <v>5</v>
      </c>
      <c r="G30" s="8" t="s">
        <v>23</v>
      </c>
      <c r="H30" s="8" t="s">
        <v>4</v>
      </c>
      <c r="I30" s="10" t="s">
        <v>25</v>
      </c>
      <c r="J30" s="8" t="s">
        <v>4</v>
      </c>
      <c r="K30" s="10">
        <v>0</v>
      </c>
      <c r="L30" s="10">
        <v>1</v>
      </c>
      <c r="M30" s="10">
        <v>4</v>
      </c>
    </row>
    <row r="31" spans="1:13" ht="16.5" customHeight="1" x14ac:dyDescent="0.35">
      <c r="A31" s="8">
        <v>3260</v>
      </c>
      <c r="B31" s="8" t="s">
        <v>54</v>
      </c>
      <c r="C31" s="8" t="s">
        <v>9</v>
      </c>
      <c r="D31" s="9">
        <v>45377</v>
      </c>
      <c r="E31" s="8" t="s">
        <v>5</v>
      </c>
      <c r="F31" s="10">
        <v>15</v>
      </c>
      <c r="G31" s="8" t="s">
        <v>27</v>
      </c>
      <c r="H31" s="8" t="s">
        <v>5</v>
      </c>
      <c r="I31" s="10">
        <v>30</v>
      </c>
      <c r="J31" s="8" t="s">
        <v>5</v>
      </c>
      <c r="K31" s="10">
        <v>20</v>
      </c>
      <c r="L31" s="10">
        <v>7</v>
      </c>
      <c r="M31" s="10">
        <v>58</v>
      </c>
    </row>
    <row r="32" spans="1:13" ht="16.5" customHeight="1" x14ac:dyDescent="0.35">
      <c r="A32" s="8">
        <v>3261</v>
      </c>
      <c r="B32" s="8" t="s">
        <v>55</v>
      </c>
      <c r="C32" s="8" t="s">
        <v>8</v>
      </c>
      <c r="D32" s="9">
        <v>45378</v>
      </c>
      <c r="E32" s="8" t="s">
        <v>4</v>
      </c>
      <c r="F32" s="10">
        <v>10</v>
      </c>
      <c r="G32" s="8" t="s">
        <v>23</v>
      </c>
      <c r="H32" s="8" t="s">
        <v>4</v>
      </c>
      <c r="I32" s="10" t="s">
        <v>25</v>
      </c>
      <c r="J32" s="8" t="s">
        <v>5</v>
      </c>
      <c r="K32" s="10">
        <v>20</v>
      </c>
      <c r="L32" s="10">
        <v>10</v>
      </c>
      <c r="M32" s="10">
        <v>20</v>
      </c>
    </row>
    <row r="33" spans="1:13" ht="16.5" customHeight="1" x14ac:dyDescent="0.35">
      <c r="A33" s="8">
        <v>3262</v>
      </c>
      <c r="B33" s="8" t="s">
        <v>56</v>
      </c>
      <c r="C33" s="8" t="s">
        <v>7</v>
      </c>
      <c r="D33" s="9">
        <v>45379</v>
      </c>
      <c r="E33" s="8" t="s">
        <v>5</v>
      </c>
      <c r="F33" s="10">
        <v>5</v>
      </c>
      <c r="G33" s="8" t="s">
        <v>1</v>
      </c>
      <c r="H33" s="8" t="s">
        <v>4</v>
      </c>
      <c r="I33" s="10" t="s">
        <v>25</v>
      </c>
      <c r="J33" s="8" t="s">
        <v>4</v>
      </c>
      <c r="K33" s="10">
        <v>0</v>
      </c>
      <c r="L33" s="10">
        <v>0</v>
      </c>
      <c r="M33" s="10">
        <v>5</v>
      </c>
    </row>
    <row r="34" spans="1:13" ht="16.5" customHeight="1" x14ac:dyDescent="0.35">
      <c r="A34" s="8">
        <v>3263</v>
      </c>
      <c r="B34" s="8" t="s">
        <v>57</v>
      </c>
      <c r="C34" s="8" t="s">
        <v>9</v>
      </c>
      <c r="D34" s="9">
        <v>45380</v>
      </c>
      <c r="E34" s="8" t="s">
        <v>4</v>
      </c>
      <c r="F34" s="10">
        <v>15</v>
      </c>
      <c r="G34" s="8" t="s">
        <v>23</v>
      </c>
      <c r="H34" s="8" t="s">
        <v>5</v>
      </c>
      <c r="I34" s="10">
        <v>30</v>
      </c>
      <c r="J34" s="8" t="s">
        <v>5</v>
      </c>
      <c r="K34" s="10">
        <v>20</v>
      </c>
      <c r="L34" s="10">
        <v>3</v>
      </c>
      <c r="M34" s="10">
        <v>62</v>
      </c>
    </row>
    <row r="35" spans="1:13" ht="16.5" customHeight="1" x14ac:dyDescent="0.35">
      <c r="A35" s="8">
        <v>3264</v>
      </c>
      <c r="B35" s="8" t="s">
        <v>58</v>
      </c>
      <c r="C35" s="8" t="s">
        <v>8</v>
      </c>
      <c r="D35" s="9">
        <v>45381</v>
      </c>
      <c r="E35" s="8" t="s">
        <v>5</v>
      </c>
      <c r="F35" s="10">
        <v>10</v>
      </c>
      <c r="G35" s="8" t="s">
        <v>27</v>
      </c>
      <c r="H35" s="8" t="s">
        <v>4</v>
      </c>
      <c r="I35" s="10" t="s">
        <v>25</v>
      </c>
      <c r="J35" s="8" t="s">
        <v>5</v>
      </c>
      <c r="K35" s="10">
        <v>20</v>
      </c>
      <c r="L35" s="10">
        <v>15</v>
      </c>
      <c r="M35" s="10">
        <v>15</v>
      </c>
    </row>
    <row r="36" spans="1:13" ht="16.5" customHeight="1" x14ac:dyDescent="0.35">
      <c r="A36" s="8">
        <v>3265</v>
      </c>
      <c r="B36" s="8" t="s">
        <v>59</v>
      </c>
      <c r="C36" s="8" t="s">
        <v>7</v>
      </c>
      <c r="D36" s="9">
        <v>45382</v>
      </c>
      <c r="E36" s="8" t="s">
        <v>4</v>
      </c>
      <c r="F36" s="10">
        <v>5</v>
      </c>
      <c r="G36" s="8" t="s">
        <v>23</v>
      </c>
      <c r="H36" s="8" t="s">
        <v>4</v>
      </c>
      <c r="I36" s="10" t="s">
        <v>25</v>
      </c>
      <c r="J36" s="8" t="s">
        <v>4</v>
      </c>
      <c r="K36" s="10">
        <v>0</v>
      </c>
      <c r="L36" s="10">
        <v>1</v>
      </c>
      <c r="M36" s="10">
        <v>4</v>
      </c>
    </row>
    <row r="37" spans="1:13" ht="16.5" customHeight="1" x14ac:dyDescent="0.35">
      <c r="A37" s="8">
        <v>3266</v>
      </c>
      <c r="B37" s="8" t="s">
        <v>60</v>
      </c>
      <c r="C37" s="8" t="s">
        <v>7</v>
      </c>
      <c r="D37" s="9">
        <v>45383</v>
      </c>
      <c r="E37" s="8" t="s">
        <v>5</v>
      </c>
      <c r="F37" s="10">
        <v>5</v>
      </c>
      <c r="G37" s="8" t="s">
        <v>23</v>
      </c>
      <c r="H37" s="8" t="s">
        <v>4</v>
      </c>
      <c r="I37" s="10" t="s">
        <v>25</v>
      </c>
      <c r="J37" s="8" t="s">
        <v>4</v>
      </c>
      <c r="K37" s="10">
        <v>0</v>
      </c>
      <c r="L37" s="10">
        <v>0</v>
      </c>
      <c r="M37" s="10">
        <v>5</v>
      </c>
    </row>
    <row r="38" spans="1:13" ht="16.5" customHeight="1" x14ac:dyDescent="0.35">
      <c r="A38" s="8">
        <v>3267</v>
      </c>
      <c r="B38" s="8" t="s">
        <v>61</v>
      </c>
      <c r="C38" s="8" t="s">
        <v>9</v>
      </c>
      <c r="D38" s="9">
        <v>45384</v>
      </c>
      <c r="E38" s="8" t="s">
        <v>4</v>
      </c>
      <c r="F38" s="10">
        <v>15</v>
      </c>
      <c r="G38" s="8" t="s">
        <v>27</v>
      </c>
      <c r="H38" s="8" t="s">
        <v>5</v>
      </c>
      <c r="I38" s="10">
        <v>30</v>
      </c>
      <c r="J38" s="8" t="s">
        <v>5</v>
      </c>
      <c r="K38" s="10">
        <v>20</v>
      </c>
      <c r="L38" s="10">
        <v>7</v>
      </c>
      <c r="M38" s="10">
        <v>58</v>
      </c>
    </row>
    <row r="39" spans="1:13" ht="16.5" customHeight="1" x14ac:dyDescent="0.35">
      <c r="A39" s="8">
        <v>3268</v>
      </c>
      <c r="B39" s="8" t="s">
        <v>62</v>
      </c>
      <c r="C39" s="8" t="s">
        <v>8</v>
      </c>
      <c r="D39" s="9">
        <v>45385</v>
      </c>
      <c r="E39" s="8" t="s">
        <v>5</v>
      </c>
      <c r="F39" s="10">
        <v>10</v>
      </c>
      <c r="G39" s="8" t="s">
        <v>1</v>
      </c>
      <c r="H39" s="8" t="s">
        <v>4</v>
      </c>
      <c r="I39" s="10" t="s">
        <v>25</v>
      </c>
      <c r="J39" s="8" t="s">
        <v>5</v>
      </c>
      <c r="K39" s="10">
        <v>20</v>
      </c>
      <c r="L39" s="10">
        <v>10</v>
      </c>
      <c r="M39" s="10">
        <v>20</v>
      </c>
    </row>
    <row r="40" spans="1:13" ht="16.5" customHeight="1" x14ac:dyDescent="0.35">
      <c r="A40" s="8">
        <v>3269</v>
      </c>
      <c r="B40" s="8" t="s">
        <v>63</v>
      </c>
      <c r="C40" s="8" t="s">
        <v>7</v>
      </c>
      <c r="D40" s="9">
        <v>45386</v>
      </c>
      <c r="E40" s="8" t="s">
        <v>4</v>
      </c>
      <c r="F40" s="10">
        <v>5</v>
      </c>
      <c r="G40" s="8" t="s">
        <v>27</v>
      </c>
      <c r="H40" s="8" t="s">
        <v>4</v>
      </c>
      <c r="I40" s="10" t="s">
        <v>25</v>
      </c>
      <c r="J40" s="8" t="s">
        <v>4</v>
      </c>
      <c r="K40" s="10">
        <v>0</v>
      </c>
      <c r="L40" s="10">
        <v>1</v>
      </c>
      <c r="M40" s="10">
        <v>4</v>
      </c>
    </row>
    <row r="41" spans="1:13" ht="16.5" customHeight="1" x14ac:dyDescent="0.35">
      <c r="A41" s="8">
        <v>3270</v>
      </c>
      <c r="B41" s="8" t="s">
        <v>64</v>
      </c>
      <c r="C41" s="8" t="s">
        <v>9</v>
      </c>
      <c r="D41" s="9">
        <v>45387</v>
      </c>
      <c r="E41" s="8" t="s">
        <v>5</v>
      </c>
      <c r="F41" s="10">
        <v>15</v>
      </c>
      <c r="G41" s="8" t="s">
        <v>23</v>
      </c>
      <c r="H41" s="8" t="s">
        <v>5</v>
      </c>
      <c r="I41" s="10">
        <v>30</v>
      </c>
      <c r="J41" s="8" t="s">
        <v>5</v>
      </c>
      <c r="K41" s="10">
        <v>20</v>
      </c>
      <c r="L41" s="10">
        <v>15</v>
      </c>
      <c r="M41" s="10">
        <v>50</v>
      </c>
    </row>
    <row r="42" spans="1:13" ht="16.5" customHeight="1" x14ac:dyDescent="0.35">
      <c r="A42" s="8">
        <v>3271</v>
      </c>
      <c r="B42" s="8" t="s">
        <v>65</v>
      </c>
      <c r="C42" s="8" t="s">
        <v>8</v>
      </c>
      <c r="D42" s="9">
        <v>45388</v>
      </c>
      <c r="E42" s="8" t="s">
        <v>4</v>
      </c>
      <c r="F42" s="10">
        <v>10</v>
      </c>
      <c r="G42" s="8" t="s">
        <v>23</v>
      </c>
      <c r="H42" s="8" t="s">
        <v>4</v>
      </c>
      <c r="I42" s="10" t="s">
        <v>25</v>
      </c>
      <c r="J42" s="8" t="s">
        <v>5</v>
      </c>
      <c r="K42" s="10">
        <v>20</v>
      </c>
      <c r="L42" s="10">
        <v>5</v>
      </c>
      <c r="M42" s="10">
        <v>25</v>
      </c>
    </row>
    <row r="43" spans="1:13" ht="16.5" customHeight="1" x14ac:dyDescent="0.35">
      <c r="A43" s="8">
        <v>3272</v>
      </c>
      <c r="B43" s="8" t="s">
        <v>66</v>
      </c>
      <c r="C43" s="8" t="s">
        <v>7</v>
      </c>
      <c r="D43" s="9">
        <v>45389</v>
      </c>
      <c r="E43" s="8" t="s">
        <v>5</v>
      </c>
      <c r="F43" s="10">
        <v>5</v>
      </c>
      <c r="G43" s="8" t="s">
        <v>1</v>
      </c>
      <c r="H43" s="8" t="s">
        <v>4</v>
      </c>
      <c r="I43" s="10" t="s">
        <v>25</v>
      </c>
      <c r="J43" s="8" t="s">
        <v>4</v>
      </c>
      <c r="K43" s="10">
        <v>0</v>
      </c>
      <c r="L43" s="10">
        <v>0</v>
      </c>
      <c r="M43" s="10">
        <v>5</v>
      </c>
    </row>
    <row r="44" spans="1:13" ht="16.5" customHeight="1" x14ac:dyDescent="0.35">
      <c r="A44" s="8">
        <v>3273</v>
      </c>
      <c r="B44" s="8" t="s">
        <v>67</v>
      </c>
      <c r="C44" s="8" t="s">
        <v>9</v>
      </c>
      <c r="D44" s="9">
        <v>45390</v>
      </c>
      <c r="E44" s="8" t="s">
        <v>4</v>
      </c>
      <c r="F44" s="10">
        <v>15</v>
      </c>
      <c r="G44" s="8" t="s">
        <v>27</v>
      </c>
      <c r="H44" s="8" t="s">
        <v>5</v>
      </c>
      <c r="I44" s="10">
        <v>30</v>
      </c>
      <c r="J44" s="8" t="s">
        <v>5</v>
      </c>
      <c r="K44" s="10">
        <v>20</v>
      </c>
      <c r="L44" s="10">
        <v>20</v>
      </c>
      <c r="M44" s="10">
        <v>45</v>
      </c>
    </row>
    <row r="45" spans="1:13" ht="16.5" customHeight="1" x14ac:dyDescent="0.35">
      <c r="A45" s="8">
        <v>3274</v>
      </c>
      <c r="B45" s="8" t="s">
        <v>68</v>
      </c>
      <c r="C45" s="8" t="s">
        <v>8</v>
      </c>
      <c r="D45" s="9">
        <v>45391</v>
      </c>
      <c r="E45" s="8" t="s">
        <v>5</v>
      </c>
      <c r="F45" s="10">
        <v>10</v>
      </c>
      <c r="G45" s="8" t="s">
        <v>27</v>
      </c>
      <c r="H45" s="8" t="s">
        <v>4</v>
      </c>
      <c r="I45" s="10" t="s">
        <v>25</v>
      </c>
      <c r="J45" s="8" t="s">
        <v>5</v>
      </c>
      <c r="K45" s="10">
        <v>20</v>
      </c>
      <c r="L45" s="10">
        <v>12</v>
      </c>
      <c r="M45" s="10">
        <v>18</v>
      </c>
    </row>
    <row r="46" spans="1:13" ht="16.5" customHeight="1" x14ac:dyDescent="0.35">
      <c r="A46" s="8">
        <v>3275</v>
      </c>
      <c r="B46" s="8" t="s">
        <v>69</v>
      </c>
      <c r="C46" s="8" t="s">
        <v>7</v>
      </c>
      <c r="D46" s="9">
        <v>45392</v>
      </c>
      <c r="E46" s="8" t="s">
        <v>4</v>
      </c>
      <c r="F46" s="10">
        <v>5</v>
      </c>
      <c r="G46" s="8" t="s">
        <v>23</v>
      </c>
      <c r="H46" s="8" t="s">
        <v>4</v>
      </c>
      <c r="I46" s="10" t="s">
        <v>25</v>
      </c>
      <c r="J46" s="8" t="s">
        <v>4</v>
      </c>
      <c r="K46" s="10">
        <v>0</v>
      </c>
      <c r="L46" s="10">
        <v>2</v>
      </c>
      <c r="M46" s="10">
        <v>3</v>
      </c>
    </row>
    <row r="47" spans="1:13" ht="16.5" customHeight="1" x14ac:dyDescent="0.35">
      <c r="A47" s="8">
        <v>3276</v>
      </c>
      <c r="B47" s="8" t="s">
        <v>70</v>
      </c>
      <c r="C47" s="8" t="s">
        <v>9</v>
      </c>
      <c r="D47" s="9">
        <v>45393</v>
      </c>
      <c r="E47" s="8" t="s">
        <v>5</v>
      </c>
      <c r="F47" s="10">
        <v>15</v>
      </c>
      <c r="G47" s="8" t="s">
        <v>1</v>
      </c>
      <c r="H47" s="8" t="s">
        <v>5</v>
      </c>
      <c r="I47" s="10">
        <v>30</v>
      </c>
      <c r="J47" s="8" t="s">
        <v>5</v>
      </c>
      <c r="K47" s="10">
        <v>20</v>
      </c>
      <c r="L47" s="10">
        <v>5</v>
      </c>
      <c r="M47" s="10">
        <v>60</v>
      </c>
    </row>
    <row r="48" spans="1:13" ht="16.5" customHeight="1" x14ac:dyDescent="0.35">
      <c r="A48" s="8">
        <v>3277</v>
      </c>
      <c r="B48" s="8" t="s">
        <v>71</v>
      </c>
      <c r="C48" s="8" t="s">
        <v>8</v>
      </c>
      <c r="D48" s="9">
        <v>45394</v>
      </c>
      <c r="E48" s="8" t="s">
        <v>4</v>
      </c>
      <c r="F48" s="10">
        <v>10</v>
      </c>
      <c r="G48" s="8" t="s">
        <v>23</v>
      </c>
      <c r="H48" s="8" t="s">
        <v>4</v>
      </c>
      <c r="I48" s="10" t="s">
        <v>25</v>
      </c>
      <c r="J48" s="8" t="s">
        <v>5</v>
      </c>
      <c r="K48" s="10">
        <v>20</v>
      </c>
      <c r="L48" s="10">
        <v>10</v>
      </c>
      <c r="M48" s="10">
        <v>20</v>
      </c>
    </row>
    <row r="49" spans="1:13" ht="16.5" customHeight="1" x14ac:dyDescent="0.35">
      <c r="A49" s="8">
        <v>3278</v>
      </c>
      <c r="B49" s="8" t="s">
        <v>72</v>
      </c>
      <c r="C49" s="8" t="s">
        <v>7</v>
      </c>
      <c r="D49" s="9">
        <v>45395</v>
      </c>
      <c r="E49" s="8" t="s">
        <v>5</v>
      </c>
      <c r="F49" s="10">
        <v>5</v>
      </c>
      <c r="G49" s="8" t="s">
        <v>27</v>
      </c>
      <c r="H49" s="8" t="s">
        <v>4</v>
      </c>
      <c r="I49" s="10" t="s">
        <v>25</v>
      </c>
      <c r="J49" s="8" t="s">
        <v>4</v>
      </c>
      <c r="K49" s="10">
        <v>0</v>
      </c>
      <c r="L49" s="10">
        <v>0</v>
      </c>
      <c r="M49" s="10">
        <v>5</v>
      </c>
    </row>
    <row r="50" spans="1:13" ht="16.5" customHeight="1" x14ac:dyDescent="0.35">
      <c r="A50" s="8">
        <v>3279</v>
      </c>
      <c r="B50" s="8" t="s">
        <v>73</v>
      </c>
      <c r="C50" s="8" t="s">
        <v>9</v>
      </c>
      <c r="D50" s="9">
        <v>45396</v>
      </c>
      <c r="E50" s="8" t="s">
        <v>4</v>
      </c>
      <c r="F50" s="10">
        <v>15</v>
      </c>
      <c r="G50" s="8" t="s">
        <v>23</v>
      </c>
      <c r="H50" s="8" t="s">
        <v>5</v>
      </c>
      <c r="I50" s="10">
        <v>30</v>
      </c>
      <c r="J50" s="8" t="s">
        <v>5</v>
      </c>
      <c r="K50" s="10">
        <v>20</v>
      </c>
      <c r="L50" s="10">
        <v>3</v>
      </c>
      <c r="M50" s="10">
        <v>62</v>
      </c>
    </row>
    <row r="51" spans="1:13" ht="16.5" customHeight="1" x14ac:dyDescent="0.35">
      <c r="A51" s="8">
        <v>3280</v>
      </c>
      <c r="B51" s="8" t="s">
        <v>74</v>
      </c>
      <c r="C51" s="8" t="s">
        <v>8</v>
      </c>
      <c r="D51" s="9">
        <v>45397</v>
      </c>
      <c r="E51" s="8" t="s">
        <v>5</v>
      </c>
      <c r="F51" s="10">
        <v>10</v>
      </c>
      <c r="G51" s="8" t="s">
        <v>1</v>
      </c>
      <c r="H51" s="8" t="s">
        <v>4</v>
      </c>
      <c r="I51" s="10" t="s">
        <v>25</v>
      </c>
      <c r="J51" s="8" t="s">
        <v>5</v>
      </c>
      <c r="K51" s="10">
        <v>20</v>
      </c>
      <c r="L51" s="10">
        <v>15</v>
      </c>
      <c r="M51" s="10">
        <v>15</v>
      </c>
    </row>
    <row r="52" spans="1:13" ht="16.5" customHeight="1" x14ac:dyDescent="0.35">
      <c r="A52" s="8">
        <v>3281</v>
      </c>
      <c r="B52" s="8" t="s">
        <v>75</v>
      </c>
      <c r="C52" s="8" t="s">
        <v>7</v>
      </c>
      <c r="D52" s="9">
        <v>45398</v>
      </c>
      <c r="E52" s="8" t="s">
        <v>4</v>
      </c>
      <c r="F52" s="10">
        <v>5</v>
      </c>
      <c r="G52" s="8" t="s">
        <v>23</v>
      </c>
      <c r="H52" s="8" t="s">
        <v>4</v>
      </c>
      <c r="I52" s="10" t="s">
        <v>25</v>
      </c>
      <c r="J52" s="8" t="s">
        <v>4</v>
      </c>
      <c r="K52" s="10">
        <v>0</v>
      </c>
      <c r="L52" s="10">
        <v>1</v>
      </c>
      <c r="M52" s="10">
        <v>4</v>
      </c>
    </row>
    <row r="53" spans="1:13" ht="16.5" customHeight="1" x14ac:dyDescent="0.35">
      <c r="A53" s="8">
        <v>3282</v>
      </c>
      <c r="B53" s="8" t="s">
        <v>76</v>
      </c>
      <c r="C53" s="8" t="s">
        <v>9</v>
      </c>
      <c r="D53" s="9">
        <v>45399</v>
      </c>
      <c r="E53" s="8" t="s">
        <v>5</v>
      </c>
      <c r="F53" s="10">
        <v>15</v>
      </c>
      <c r="G53" s="8" t="s">
        <v>27</v>
      </c>
      <c r="H53" s="8" t="s">
        <v>5</v>
      </c>
      <c r="I53" s="10">
        <v>30</v>
      </c>
      <c r="J53" s="8" t="s">
        <v>5</v>
      </c>
      <c r="K53" s="10">
        <v>20</v>
      </c>
      <c r="L53" s="10">
        <v>7</v>
      </c>
      <c r="M53" s="10">
        <v>58</v>
      </c>
    </row>
    <row r="54" spans="1:13" ht="16.5" customHeight="1" x14ac:dyDescent="0.35">
      <c r="A54" s="8">
        <v>3283</v>
      </c>
      <c r="B54" s="8" t="s">
        <v>77</v>
      </c>
      <c r="C54" s="8" t="s">
        <v>8</v>
      </c>
      <c r="D54" s="9">
        <v>45400</v>
      </c>
      <c r="E54" s="8" t="s">
        <v>4</v>
      </c>
      <c r="F54" s="10">
        <v>10</v>
      </c>
      <c r="G54" s="8" t="s">
        <v>23</v>
      </c>
      <c r="H54" s="8" t="s">
        <v>4</v>
      </c>
      <c r="I54" s="10" t="s">
        <v>25</v>
      </c>
      <c r="J54" s="8" t="s">
        <v>5</v>
      </c>
      <c r="K54" s="10">
        <v>20</v>
      </c>
      <c r="L54" s="10">
        <v>10</v>
      </c>
      <c r="M54" s="10">
        <v>20</v>
      </c>
    </row>
    <row r="55" spans="1:13" ht="16.5" customHeight="1" x14ac:dyDescent="0.35">
      <c r="A55" s="8">
        <v>3284</v>
      </c>
      <c r="B55" s="8" t="s">
        <v>78</v>
      </c>
      <c r="C55" s="8" t="s">
        <v>7</v>
      </c>
      <c r="D55" s="9">
        <v>45401</v>
      </c>
      <c r="E55" s="8" t="s">
        <v>5</v>
      </c>
      <c r="F55" s="10">
        <v>5</v>
      </c>
      <c r="G55" s="8" t="s">
        <v>1</v>
      </c>
      <c r="H55" s="8" t="s">
        <v>4</v>
      </c>
      <c r="I55" s="10" t="s">
        <v>25</v>
      </c>
      <c r="J55" s="8" t="s">
        <v>4</v>
      </c>
      <c r="K55" s="10">
        <v>0</v>
      </c>
      <c r="L55" s="10">
        <v>0</v>
      </c>
      <c r="M55" s="10">
        <v>5</v>
      </c>
    </row>
    <row r="56" spans="1:13" ht="16.5" customHeight="1" x14ac:dyDescent="0.35">
      <c r="A56" s="8">
        <v>3285</v>
      </c>
      <c r="B56" s="8" t="s">
        <v>79</v>
      </c>
      <c r="C56" s="8" t="s">
        <v>9</v>
      </c>
      <c r="D56" s="9">
        <v>45402</v>
      </c>
      <c r="E56" s="8" t="s">
        <v>4</v>
      </c>
      <c r="F56" s="10">
        <v>15</v>
      </c>
      <c r="G56" s="8" t="s">
        <v>23</v>
      </c>
      <c r="H56" s="8" t="s">
        <v>5</v>
      </c>
      <c r="I56" s="10">
        <v>30</v>
      </c>
      <c r="J56" s="8" t="s">
        <v>5</v>
      </c>
      <c r="K56" s="10">
        <v>20</v>
      </c>
      <c r="L56" s="10">
        <v>20</v>
      </c>
      <c r="M56" s="10">
        <v>45</v>
      </c>
    </row>
    <row r="57" spans="1:13" ht="16.5" customHeight="1" x14ac:dyDescent="0.35">
      <c r="A57" s="8">
        <v>3286</v>
      </c>
      <c r="B57" s="8" t="s">
        <v>80</v>
      </c>
      <c r="C57" s="8" t="s">
        <v>8</v>
      </c>
      <c r="D57" s="9">
        <v>45403</v>
      </c>
      <c r="E57" s="8" t="s">
        <v>5</v>
      </c>
      <c r="F57" s="10">
        <v>10</v>
      </c>
      <c r="G57" s="8" t="s">
        <v>27</v>
      </c>
      <c r="H57" s="8" t="s">
        <v>4</v>
      </c>
      <c r="I57" s="10" t="s">
        <v>25</v>
      </c>
      <c r="J57" s="8" t="s">
        <v>5</v>
      </c>
      <c r="K57" s="10">
        <v>20</v>
      </c>
      <c r="L57" s="10">
        <v>15</v>
      </c>
      <c r="M57" s="10">
        <v>15</v>
      </c>
    </row>
    <row r="58" spans="1:13" ht="16.5" customHeight="1" x14ac:dyDescent="0.35">
      <c r="A58" s="8">
        <v>3287</v>
      </c>
      <c r="B58" s="8" t="s">
        <v>81</v>
      </c>
      <c r="C58" s="8" t="s">
        <v>7</v>
      </c>
      <c r="D58" s="9">
        <v>45404</v>
      </c>
      <c r="E58" s="8" t="s">
        <v>4</v>
      </c>
      <c r="F58" s="10">
        <v>5</v>
      </c>
      <c r="G58" s="8" t="s">
        <v>23</v>
      </c>
      <c r="H58" s="8" t="s">
        <v>4</v>
      </c>
      <c r="I58" s="10" t="s">
        <v>25</v>
      </c>
      <c r="J58" s="8" t="s">
        <v>4</v>
      </c>
      <c r="K58" s="10">
        <v>0</v>
      </c>
      <c r="L58" s="10">
        <v>1</v>
      </c>
      <c r="M58" s="10">
        <v>4</v>
      </c>
    </row>
    <row r="59" spans="1:13" ht="16.5" customHeight="1" x14ac:dyDescent="0.35">
      <c r="A59" s="8">
        <v>3288</v>
      </c>
      <c r="B59" s="8" t="s">
        <v>82</v>
      </c>
      <c r="C59" s="8" t="s">
        <v>9</v>
      </c>
      <c r="D59" s="9">
        <v>45405</v>
      </c>
      <c r="E59" s="8" t="s">
        <v>5</v>
      </c>
      <c r="F59" s="10">
        <v>15</v>
      </c>
      <c r="G59" s="8" t="s">
        <v>1</v>
      </c>
      <c r="H59" s="8" t="s">
        <v>5</v>
      </c>
      <c r="I59" s="10">
        <v>30</v>
      </c>
      <c r="J59" s="8" t="s">
        <v>5</v>
      </c>
      <c r="K59" s="10">
        <v>20</v>
      </c>
      <c r="L59" s="10">
        <v>3</v>
      </c>
      <c r="M59" s="10">
        <v>62</v>
      </c>
    </row>
    <row r="60" spans="1:13" ht="16.5" customHeight="1" x14ac:dyDescent="0.35">
      <c r="A60" s="8">
        <v>3289</v>
      </c>
      <c r="B60" s="8" t="s">
        <v>83</v>
      </c>
      <c r="C60" s="8" t="s">
        <v>8</v>
      </c>
      <c r="D60" s="9">
        <v>45406</v>
      </c>
      <c r="E60" s="8" t="s">
        <v>4</v>
      </c>
      <c r="F60" s="10">
        <v>10</v>
      </c>
      <c r="G60" s="8" t="s">
        <v>23</v>
      </c>
      <c r="H60" s="8" t="s">
        <v>4</v>
      </c>
      <c r="I60" s="10" t="s">
        <v>25</v>
      </c>
      <c r="J60" s="8" t="s">
        <v>5</v>
      </c>
      <c r="K60" s="10">
        <v>20</v>
      </c>
      <c r="L60" s="10">
        <v>10</v>
      </c>
      <c r="M60" s="10">
        <v>20</v>
      </c>
    </row>
    <row r="61" spans="1:13" ht="16.5" customHeight="1" x14ac:dyDescent="0.35">
      <c r="A61" s="8">
        <v>3290</v>
      </c>
      <c r="B61" s="8" t="s">
        <v>84</v>
      </c>
      <c r="C61" s="8" t="s">
        <v>7</v>
      </c>
      <c r="D61" s="9">
        <v>45407</v>
      </c>
      <c r="E61" s="8" t="s">
        <v>5</v>
      </c>
      <c r="F61" s="10">
        <v>5</v>
      </c>
      <c r="G61" s="8" t="s">
        <v>27</v>
      </c>
      <c r="H61" s="8" t="s">
        <v>4</v>
      </c>
      <c r="I61" s="10" t="s">
        <v>25</v>
      </c>
      <c r="J61" s="8" t="s">
        <v>4</v>
      </c>
      <c r="K61" s="10">
        <v>0</v>
      </c>
      <c r="L61" s="10">
        <v>0</v>
      </c>
      <c r="M61" s="10">
        <v>5</v>
      </c>
    </row>
    <row r="62" spans="1:13" ht="16.5" customHeight="1" x14ac:dyDescent="0.35">
      <c r="A62" s="8">
        <v>3291</v>
      </c>
      <c r="B62" s="8" t="s">
        <v>85</v>
      </c>
      <c r="C62" s="8" t="s">
        <v>9</v>
      </c>
      <c r="D62" s="9">
        <v>45408</v>
      </c>
      <c r="E62" s="8" t="s">
        <v>4</v>
      </c>
      <c r="F62" s="10">
        <v>15</v>
      </c>
      <c r="G62" s="8" t="s">
        <v>23</v>
      </c>
      <c r="H62" s="8" t="s">
        <v>5</v>
      </c>
      <c r="I62" s="10">
        <v>30</v>
      </c>
      <c r="J62" s="8" t="s">
        <v>5</v>
      </c>
      <c r="K62" s="10">
        <v>20</v>
      </c>
      <c r="L62" s="10">
        <v>5</v>
      </c>
      <c r="M62" s="10">
        <v>60</v>
      </c>
    </row>
    <row r="63" spans="1:13" ht="16.5" customHeight="1" x14ac:dyDescent="0.35">
      <c r="A63" s="8">
        <v>3292</v>
      </c>
      <c r="B63" s="8" t="s">
        <v>86</v>
      </c>
      <c r="C63" s="8" t="s">
        <v>8</v>
      </c>
      <c r="D63" s="9">
        <v>45409</v>
      </c>
      <c r="E63" s="8" t="s">
        <v>5</v>
      </c>
      <c r="F63" s="10">
        <v>10</v>
      </c>
      <c r="G63" s="8" t="s">
        <v>1</v>
      </c>
      <c r="H63" s="8" t="s">
        <v>4</v>
      </c>
      <c r="I63" s="10" t="s">
        <v>25</v>
      </c>
      <c r="J63" s="8" t="s">
        <v>5</v>
      </c>
      <c r="K63" s="10">
        <v>20</v>
      </c>
      <c r="L63" s="10">
        <v>15</v>
      </c>
      <c r="M63" s="10">
        <v>15</v>
      </c>
    </row>
    <row r="64" spans="1:13" ht="16.5" customHeight="1" x14ac:dyDescent="0.35">
      <c r="A64" s="8">
        <v>3293</v>
      </c>
      <c r="B64" s="8" t="s">
        <v>87</v>
      </c>
      <c r="C64" s="8" t="s">
        <v>7</v>
      </c>
      <c r="D64" s="9">
        <v>45410</v>
      </c>
      <c r="E64" s="8" t="s">
        <v>4</v>
      </c>
      <c r="F64" s="10">
        <v>5</v>
      </c>
      <c r="G64" s="8" t="s">
        <v>23</v>
      </c>
      <c r="H64" s="8" t="s">
        <v>4</v>
      </c>
      <c r="I64" s="10" t="s">
        <v>25</v>
      </c>
      <c r="J64" s="8" t="s">
        <v>4</v>
      </c>
      <c r="K64" s="10">
        <v>0</v>
      </c>
      <c r="L64" s="10">
        <v>1</v>
      </c>
      <c r="M64" s="10">
        <v>4</v>
      </c>
    </row>
    <row r="65" spans="1:13" ht="16.5" customHeight="1" x14ac:dyDescent="0.35">
      <c r="A65" s="8">
        <v>3294</v>
      </c>
      <c r="B65" s="8" t="s">
        <v>88</v>
      </c>
      <c r="C65" s="8" t="s">
        <v>9</v>
      </c>
      <c r="D65" s="9">
        <v>45411</v>
      </c>
      <c r="E65" s="8" t="s">
        <v>5</v>
      </c>
      <c r="F65" s="10">
        <v>15</v>
      </c>
      <c r="G65" s="8" t="s">
        <v>27</v>
      </c>
      <c r="H65" s="8" t="s">
        <v>5</v>
      </c>
      <c r="I65" s="10">
        <v>30</v>
      </c>
      <c r="J65" s="8" t="s">
        <v>5</v>
      </c>
      <c r="K65" s="10">
        <v>20</v>
      </c>
      <c r="L65" s="10">
        <v>20</v>
      </c>
      <c r="M65" s="10">
        <v>45</v>
      </c>
    </row>
    <row r="66" spans="1:13" ht="16.5" customHeight="1" x14ac:dyDescent="0.35">
      <c r="A66" s="8">
        <v>3295</v>
      </c>
      <c r="B66" s="8" t="s">
        <v>89</v>
      </c>
      <c r="C66" s="8" t="s">
        <v>8</v>
      </c>
      <c r="D66" s="9">
        <v>45412</v>
      </c>
      <c r="E66" s="8" t="s">
        <v>4</v>
      </c>
      <c r="F66" s="10">
        <v>10</v>
      </c>
      <c r="G66" s="8" t="s">
        <v>23</v>
      </c>
      <c r="H66" s="8" t="s">
        <v>4</v>
      </c>
      <c r="I66" s="10" t="s">
        <v>25</v>
      </c>
      <c r="J66" s="8" t="s">
        <v>5</v>
      </c>
      <c r="K66" s="10">
        <v>20</v>
      </c>
      <c r="L66" s="10">
        <v>5</v>
      </c>
      <c r="M66" s="10">
        <v>25</v>
      </c>
    </row>
    <row r="67" spans="1:13" ht="16.5" customHeight="1" x14ac:dyDescent="0.35">
      <c r="A67" s="8">
        <v>3296</v>
      </c>
      <c r="B67" s="8" t="s">
        <v>90</v>
      </c>
      <c r="C67" s="8" t="s">
        <v>7</v>
      </c>
      <c r="D67" s="9">
        <v>45413</v>
      </c>
      <c r="E67" s="8" t="s">
        <v>4</v>
      </c>
      <c r="F67" s="10">
        <v>5</v>
      </c>
      <c r="G67" s="8" t="s">
        <v>23</v>
      </c>
      <c r="H67" s="8" t="s">
        <v>4</v>
      </c>
      <c r="I67" s="10" t="s">
        <v>25</v>
      </c>
      <c r="J67" s="8" t="s">
        <v>4</v>
      </c>
      <c r="K67" s="10">
        <v>0</v>
      </c>
      <c r="L67" s="10">
        <v>0</v>
      </c>
      <c r="M67" s="10">
        <v>5</v>
      </c>
    </row>
    <row r="68" spans="1:13" ht="16.5" customHeight="1" x14ac:dyDescent="0.35">
      <c r="A68" s="8">
        <v>3297</v>
      </c>
      <c r="B68" s="8" t="s">
        <v>91</v>
      </c>
      <c r="C68" s="8" t="s">
        <v>9</v>
      </c>
      <c r="D68" s="9">
        <v>45414</v>
      </c>
      <c r="E68" s="8" t="s">
        <v>5</v>
      </c>
      <c r="F68" s="10">
        <v>15</v>
      </c>
      <c r="G68" s="8" t="s">
        <v>27</v>
      </c>
      <c r="H68" s="8" t="s">
        <v>5</v>
      </c>
      <c r="I68" s="10">
        <v>30</v>
      </c>
      <c r="J68" s="8" t="s">
        <v>5</v>
      </c>
      <c r="K68" s="10">
        <v>20</v>
      </c>
      <c r="L68" s="10">
        <v>7</v>
      </c>
      <c r="M68" s="10">
        <v>58</v>
      </c>
    </row>
    <row r="69" spans="1:13" ht="16.5" customHeight="1" x14ac:dyDescent="0.35">
      <c r="A69" s="8">
        <v>3298</v>
      </c>
      <c r="B69" s="8" t="s">
        <v>92</v>
      </c>
      <c r="C69" s="8" t="s">
        <v>8</v>
      </c>
      <c r="D69" s="9">
        <v>45415</v>
      </c>
      <c r="E69" s="8" t="s">
        <v>4</v>
      </c>
      <c r="F69" s="10">
        <v>10</v>
      </c>
      <c r="G69" s="8" t="s">
        <v>1</v>
      </c>
      <c r="H69" s="8" t="s">
        <v>4</v>
      </c>
      <c r="I69" s="10" t="s">
        <v>25</v>
      </c>
      <c r="J69" s="8" t="s">
        <v>5</v>
      </c>
      <c r="K69" s="10">
        <v>20</v>
      </c>
      <c r="L69" s="10">
        <v>10</v>
      </c>
      <c r="M69" s="10">
        <v>20</v>
      </c>
    </row>
    <row r="70" spans="1:13" ht="16.5" customHeight="1" x14ac:dyDescent="0.35">
      <c r="A70" s="8">
        <v>3299</v>
      </c>
      <c r="B70" s="8" t="s">
        <v>93</v>
      </c>
      <c r="C70" s="8" t="s">
        <v>7</v>
      </c>
      <c r="D70" s="9">
        <v>45416</v>
      </c>
      <c r="E70" s="8" t="s">
        <v>5</v>
      </c>
      <c r="F70" s="10">
        <v>5</v>
      </c>
      <c r="G70" s="8" t="s">
        <v>27</v>
      </c>
      <c r="H70" s="8" t="s">
        <v>4</v>
      </c>
      <c r="I70" s="10" t="s">
        <v>25</v>
      </c>
      <c r="J70" s="8" t="s">
        <v>4</v>
      </c>
      <c r="K70" s="10">
        <v>0</v>
      </c>
      <c r="L70" s="10">
        <v>1</v>
      </c>
      <c r="M70" s="10">
        <v>4</v>
      </c>
    </row>
    <row r="71" spans="1:13" ht="16.5" customHeight="1" x14ac:dyDescent="0.35">
      <c r="A71" s="8">
        <v>3300</v>
      </c>
      <c r="B71" s="8" t="s">
        <v>94</v>
      </c>
      <c r="C71" s="8" t="s">
        <v>9</v>
      </c>
      <c r="D71" s="9">
        <v>45417</v>
      </c>
      <c r="E71" s="8" t="s">
        <v>4</v>
      </c>
      <c r="F71" s="10">
        <v>15</v>
      </c>
      <c r="G71" s="8" t="s">
        <v>23</v>
      </c>
      <c r="H71" s="8" t="s">
        <v>5</v>
      </c>
      <c r="I71" s="10">
        <v>30</v>
      </c>
      <c r="J71" s="8" t="s">
        <v>5</v>
      </c>
      <c r="K71" s="10">
        <v>20</v>
      </c>
      <c r="L71" s="10">
        <v>15</v>
      </c>
      <c r="M71" s="10">
        <v>50</v>
      </c>
    </row>
    <row r="72" spans="1:13" ht="16.5" customHeight="1" x14ac:dyDescent="0.35">
      <c r="A72" s="8">
        <v>3301</v>
      </c>
      <c r="B72" s="8" t="s">
        <v>95</v>
      </c>
      <c r="C72" s="8" t="s">
        <v>8</v>
      </c>
      <c r="D72" s="9">
        <v>45418</v>
      </c>
      <c r="E72" s="8" t="s">
        <v>5</v>
      </c>
      <c r="F72" s="10">
        <v>10</v>
      </c>
      <c r="G72" s="8" t="s">
        <v>23</v>
      </c>
      <c r="H72" s="8" t="s">
        <v>4</v>
      </c>
      <c r="I72" s="10" t="s">
        <v>25</v>
      </c>
      <c r="J72" s="8" t="s">
        <v>5</v>
      </c>
      <c r="K72" s="10">
        <v>20</v>
      </c>
      <c r="L72" s="10">
        <v>5</v>
      </c>
      <c r="M72" s="10">
        <v>25</v>
      </c>
    </row>
    <row r="73" spans="1:13" ht="16.5" customHeight="1" x14ac:dyDescent="0.35">
      <c r="A73" s="8">
        <v>3302</v>
      </c>
      <c r="B73" s="8" t="s">
        <v>96</v>
      </c>
      <c r="C73" s="8" t="s">
        <v>7</v>
      </c>
      <c r="D73" s="9">
        <v>45419</v>
      </c>
      <c r="E73" s="8" t="s">
        <v>4</v>
      </c>
      <c r="F73" s="10">
        <v>5</v>
      </c>
      <c r="G73" s="8" t="s">
        <v>1</v>
      </c>
      <c r="H73" s="8" t="s">
        <v>4</v>
      </c>
      <c r="I73" s="10" t="s">
        <v>25</v>
      </c>
      <c r="J73" s="8" t="s">
        <v>4</v>
      </c>
      <c r="K73" s="10">
        <v>0</v>
      </c>
      <c r="L73" s="10">
        <v>0</v>
      </c>
      <c r="M73" s="10">
        <v>5</v>
      </c>
    </row>
    <row r="74" spans="1:13" ht="16.5" customHeight="1" x14ac:dyDescent="0.35">
      <c r="A74" s="8">
        <v>3303</v>
      </c>
      <c r="B74" s="8" t="s">
        <v>97</v>
      </c>
      <c r="C74" s="8" t="s">
        <v>9</v>
      </c>
      <c r="D74" s="9">
        <v>45420</v>
      </c>
      <c r="E74" s="8" t="s">
        <v>5</v>
      </c>
      <c r="F74" s="10">
        <v>15</v>
      </c>
      <c r="G74" s="8" t="s">
        <v>27</v>
      </c>
      <c r="H74" s="8" t="s">
        <v>5</v>
      </c>
      <c r="I74" s="10">
        <v>30</v>
      </c>
      <c r="J74" s="8" t="s">
        <v>5</v>
      </c>
      <c r="K74" s="10">
        <v>20</v>
      </c>
      <c r="L74" s="10">
        <v>20</v>
      </c>
      <c r="M74" s="10">
        <v>45</v>
      </c>
    </row>
    <row r="75" spans="1:13" ht="16.5" customHeight="1" x14ac:dyDescent="0.35">
      <c r="A75" s="8">
        <v>3304</v>
      </c>
      <c r="B75" s="8" t="s">
        <v>98</v>
      </c>
      <c r="C75" s="8" t="s">
        <v>8</v>
      </c>
      <c r="D75" s="9">
        <v>45421</v>
      </c>
      <c r="E75" s="8" t="s">
        <v>4</v>
      </c>
      <c r="F75" s="10">
        <v>10</v>
      </c>
      <c r="G75" s="8" t="s">
        <v>27</v>
      </c>
      <c r="H75" s="8" t="s">
        <v>4</v>
      </c>
      <c r="I75" s="10" t="s">
        <v>25</v>
      </c>
      <c r="J75" s="8" t="s">
        <v>5</v>
      </c>
      <c r="K75" s="10">
        <v>20</v>
      </c>
      <c r="L75" s="10">
        <v>12</v>
      </c>
      <c r="M75" s="10">
        <v>18</v>
      </c>
    </row>
    <row r="76" spans="1:13" ht="16.5" customHeight="1" x14ac:dyDescent="0.35">
      <c r="A76" s="8">
        <v>3305</v>
      </c>
      <c r="B76" s="8" t="s">
        <v>99</v>
      </c>
      <c r="C76" s="8" t="s">
        <v>7</v>
      </c>
      <c r="D76" s="9">
        <v>45422</v>
      </c>
      <c r="E76" s="8" t="s">
        <v>5</v>
      </c>
      <c r="F76" s="10">
        <v>5</v>
      </c>
      <c r="G76" s="8" t="s">
        <v>23</v>
      </c>
      <c r="H76" s="8" t="s">
        <v>4</v>
      </c>
      <c r="I76" s="10" t="s">
        <v>25</v>
      </c>
      <c r="J76" s="8" t="s">
        <v>4</v>
      </c>
      <c r="K76" s="10">
        <v>0</v>
      </c>
      <c r="L76" s="10">
        <v>2</v>
      </c>
      <c r="M76" s="10">
        <v>3</v>
      </c>
    </row>
    <row r="77" spans="1:13" ht="16.5" customHeight="1" x14ac:dyDescent="0.35">
      <c r="A77" s="8">
        <v>3306</v>
      </c>
      <c r="B77" s="8" t="s">
        <v>100</v>
      </c>
      <c r="C77" s="8" t="s">
        <v>9</v>
      </c>
      <c r="D77" s="9">
        <v>45423</v>
      </c>
      <c r="E77" s="8" t="s">
        <v>4</v>
      </c>
      <c r="F77" s="10">
        <v>15</v>
      </c>
      <c r="G77" s="8" t="s">
        <v>1</v>
      </c>
      <c r="H77" s="8" t="s">
        <v>5</v>
      </c>
      <c r="I77" s="10">
        <v>30</v>
      </c>
      <c r="J77" s="8" t="s">
        <v>5</v>
      </c>
      <c r="K77" s="10">
        <v>20</v>
      </c>
      <c r="L77" s="10">
        <v>5</v>
      </c>
      <c r="M77" s="10">
        <v>60</v>
      </c>
    </row>
    <row r="78" spans="1:13" ht="16.5" customHeight="1" x14ac:dyDescent="0.35">
      <c r="A78" s="8">
        <v>3307</v>
      </c>
      <c r="B78" s="8" t="s">
        <v>101</v>
      </c>
      <c r="C78" s="8" t="s">
        <v>8</v>
      </c>
      <c r="D78" s="9">
        <v>45424</v>
      </c>
      <c r="E78" s="8" t="s">
        <v>5</v>
      </c>
      <c r="F78" s="10">
        <v>10</v>
      </c>
      <c r="G78" s="8" t="s">
        <v>23</v>
      </c>
      <c r="H78" s="8" t="s">
        <v>4</v>
      </c>
      <c r="I78" s="10" t="s">
        <v>25</v>
      </c>
      <c r="J78" s="8" t="s">
        <v>5</v>
      </c>
      <c r="K78" s="10">
        <v>20</v>
      </c>
      <c r="L78" s="10">
        <v>10</v>
      </c>
      <c r="M78" s="10">
        <v>20</v>
      </c>
    </row>
    <row r="79" spans="1:13" ht="16.5" customHeight="1" x14ac:dyDescent="0.35">
      <c r="A79" s="8">
        <v>3308</v>
      </c>
      <c r="B79" s="8" t="s">
        <v>102</v>
      </c>
      <c r="C79" s="8" t="s">
        <v>7</v>
      </c>
      <c r="D79" s="9">
        <v>45425</v>
      </c>
      <c r="E79" s="8" t="s">
        <v>4</v>
      </c>
      <c r="F79" s="10">
        <v>5</v>
      </c>
      <c r="G79" s="8" t="s">
        <v>27</v>
      </c>
      <c r="H79" s="8" t="s">
        <v>4</v>
      </c>
      <c r="I79" s="10" t="s">
        <v>25</v>
      </c>
      <c r="J79" s="8" t="s">
        <v>4</v>
      </c>
      <c r="K79" s="10">
        <v>0</v>
      </c>
      <c r="L79" s="10">
        <v>0</v>
      </c>
      <c r="M79" s="10">
        <v>5</v>
      </c>
    </row>
    <row r="80" spans="1:13" ht="16.5" customHeight="1" x14ac:dyDescent="0.35">
      <c r="A80" s="8">
        <v>3309</v>
      </c>
      <c r="B80" s="8" t="s">
        <v>103</v>
      </c>
      <c r="C80" s="8" t="s">
        <v>9</v>
      </c>
      <c r="D80" s="9">
        <v>45426</v>
      </c>
      <c r="E80" s="8" t="s">
        <v>5</v>
      </c>
      <c r="F80" s="10">
        <v>15</v>
      </c>
      <c r="G80" s="8" t="s">
        <v>23</v>
      </c>
      <c r="H80" s="8" t="s">
        <v>5</v>
      </c>
      <c r="I80" s="10">
        <v>30</v>
      </c>
      <c r="J80" s="8" t="s">
        <v>5</v>
      </c>
      <c r="K80" s="10">
        <v>20</v>
      </c>
      <c r="L80" s="10">
        <v>3</v>
      </c>
      <c r="M80" s="10">
        <v>62</v>
      </c>
    </row>
    <row r="81" spans="1:13" ht="16.5" customHeight="1" x14ac:dyDescent="0.35">
      <c r="A81" s="8">
        <v>3310</v>
      </c>
      <c r="B81" s="8" t="s">
        <v>104</v>
      </c>
      <c r="C81" s="8" t="s">
        <v>8</v>
      </c>
      <c r="D81" s="9">
        <v>45427</v>
      </c>
      <c r="E81" s="8" t="s">
        <v>4</v>
      </c>
      <c r="F81" s="10">
        <v>10</v>
      </c>
      <c r="G81" s="8" t="s">
        <v>1</v>
      </c>
      <c r="H81" s="8" t="s">
        <v>4</v>
      </c>
      <c r="I81" s="10" t="s">
        <v>25</v>
      </c>
      <c r="J81" s="8" t="s">
        <v>5</v>
      </c>
      <c r="K81" s="10">
        <v>20</v>
      </c>
      <c r="L81" s="10">
        <v>15</v>
      </c>
      <c r="M81" s="10">
        <v>15</v>
      </c>
    </row>
    <row r="82" spans="1:13" ht="16.5" customHeight="1" x14ac:dyDescent="0.35">
      <c r="A82" s="8">
        <v>3311</v>
      </c>
      <c r="B82" s="8" t="s">
        <v>105</v>
      </c>
      <c r="C82" s="8" t="s">
        <v>7</v>
      </c>
      <c r="D82" s="9">
        <v>45428</v>
      </c>
      <c r="E82" s="8" t="s">
        <v>5</v>
      </c>
      <c r="F82" s="10">
        <v>5</v>
      </c>
      <c r="G82" s="8" t="s">
        <v>23</v>
      </c>
      <c r="H82" s="8" t="s">
        <v>4</v>
      </c>
      <c r="I82" s="10" t="s">
        <v>25</v>
      </c>
      <c r="J82" s="8" t="s">
        <v>4</v>
      </c>
      <c r="K82" s="10">
        <v>0</v>
      </c>
      <c r="L82" s="10">
        <v>1</v>
      </c>
      <c r="M82" s="10">
        <v>4</v>
      </c>
    </row>
    <row r="83" spans="1:13" ht="16.5" customHeight="1" x14ac:dyDescent="0.35">
      <c r="A83" s="8">
        <v>3312</v>
      </c>
      <c r="B83" s="8" t="s">
        <v>106</v>
      </c>
      <c r="C83" s="8" t="s">
        <v>9</v>
      </c>
      <c r="D83" s="9">
        <v>45429</v>
      </c>
      <c r="E83" s="8" t="s">
        <v>4</v>
      </c>
      <c r="F83" s="10">
        <v>15</v>
      </c>
      <c r="G83" s="8" t="s">
        <v>27</v>
      </c>
      <c r="H83" s="8" t="s">
        <v>5</v>
      </c>
      <c r="I83" s="10">
        <v>30</v>
      </c>
      <c r="J83" s="8" t="s">
        <v>5</v>
      </c>
      <c r="K83" s="10">
        <v>20</v>
      </c>
      <c r="L83" s="10">
        <v>7</v>
      </c>
      <c r="M83" s="10">
        <v>58</v>
      </c>
    </row>
    <row r="84" spans="1:13" ht="16.5" customHeight="1" x14ac:dyDescent="0.35">
      <c r="A84" s="8">
        <v>3313</v>
      </c>
      <c r="B84" s="8" t="s">
        <v>107</v>
      </c>
      <c r="C84" s="8" t="s">
        <v>8</v>
      </c>
      <c r="D84" s="9">
        <v>45430</v>
      </c>
      <c r="E84" s="8" t="s">
        <v>5</v>
      </c>
      <c r="F84" s="10">
        <v>10</v>
      </c>
      <c r="G84" s="8" t="s">
        <v>23</v>
      </c>
      <c r="H84" s="8" t="s">
        <v>4</v>
      </c>
      <c r="I84" s="10" t="s">
        <v>25</v>
      </c>
      <c r="J84" s="8" t="s">
        <v>5</v>
      </c>
      <c r="K84" s="10">
        <v>20</v>
      </c>
      <c r="L84" s="10">
        <v>10</v>
      </c>
      <c r="M84" s="10">
        <v>20</v>
      </c>
    </row>
    <row r="85" spans="1:13" ht="16.5" customHeight="1" x14ac:dyDescent="0.35">
      <c r="A85" s="8">
        <v>3314</v>
      </c>
      <c r="B85" s="8" t="s">
        <v>108</v>
      </c>
      <c r="C85" s="8" t="s">
        <v>7</v>
      </c>
      <c r="D85" s="9">
        <v>45431</v>
      </c>
      <c r="E85" s="8" t="s">
        <v>4</v>
      </c>
      <c r="F85" s="10">
        <v>5</v>
      </c>
      <c r="G85" s="8" t="s">
        <v>1</v>
      </c>
      <c r="H85" s="8" t="s">
        <v>4</v>
      </c>
      <c r="I85" s="10" t="s">
        <v>25</v>
      </c>
      <c r="J85" s="8" t="s">
        <v>4</v>
      </c>
      <c r="K85" s="10">
        <v>0</v>
      </c>
      <c r="L85" s="10">
        <v>0</v>
      </c>
      <c r="M85" s="10">
        <v>5</v>
      </c>
    </row>
    <row r="86" spans="1:13" ht="16.5" customHeight="1" x14ac:dyDescent="0.35">
      <c r="A86" s="8">
        <v>3315</v>
      </c>
      <c r="B86" s="8" t="s">
        <v>109</v>
      </c>
      <c r="C86" s="8" t="s">
        <v>9</v>
      </c>
      <c r="D86" s="9">
        <v>45432</v>
      </c>
      <c r="E86" s="8" t="s">
        <v>5</v>
      </c>
      <c r="F86" s="10">
        <v>15</v>
      </c>
      <c r="G86" s="8" t="s">
        <v>23</v>
      </c>
      <c r="H86" s="8" t="s">
        <v>5</v>
      </c>
      <c r="I86" s="10">
        <v>30</v>
      </c>
      <c r="J86" s="8" t="s">
        <v>5</v>
      </c>
      <c r="K86" s="10">
        <v>20</v>
      </c>
      <c r="L86" s="10">
        <v>20</v>
      </c>
      <c r="M86" s="10">
        <v>45</v>
      </c>
    </row>
    <row r="87" spans="1:13" ht="16.5" customHeight="1" x14ac:dyDescent="0.35">
      <c r="A87" s="8">
        <v>3316</v>
      </c>
      <c r="B87" s="8" t="s">
        <v>110</v>
      </c>
      <c r="C87" s="8" t="s">
        <v>8</v>
      </c>
      <c r="D87" s="9">
        <v>45433</v>
      </c>
      <c r="E87" s="8" t="s">
        <v>4</v>
      </c>
      <c r="F87" s="10">
        <v>10</v>
      </c>
      <c r="G87" s="8" t="s">
        <v>27</v>
      </c>
      <c r="H87" s="8" t="s">
        <v>4</v>
      </c>
      <c r="I87" s="10" t="s">
        <v>25</v>
      </c>
      <c r="J87" s="8" t="s">
        <v>5</v>
      </c>
      <c r="K87" s="10">
        <v>20</v>
      </c>
      <c r="L87" s="10">
        <v>15</v>
      </c>
      <c r="M87" s="10">
        <v>15</v>
      </c>
    </row>
    <row r="88" spans="1:13" ht="16.5" customHeight="1" x14ac:dyDescent="0.35">
      <c r="A88" s="8">
        <v>3317</v>
      </c>
      <c r="B88" s="8" t="s">
        <v>111</v>
      </c>
      <c r="C88" s="8" t="s">
        <v>7</v>
      </c>
      <c r="D88" s="9">
        <v>45434</v>
      </c>
      <c r="E88" s="8" t="s">
        <v>5</v>
      </c>
      <c r="F88" s="10">
        <v>5</v>
      </c>
      <c r="G88" s="8" t="s">
        <v>23</v>
      </c>
      <c r="H88" s="8" t="s">
        <v>4</v>
      </c>
      <c r="I88" s="10" t="s">
        <v>25</v>
      </c>
      <c r="J88" s="8" t="s">
        <v>4</v>
      </c>
      <c r="K88" s="10">
        <v>0</v>
      </c>
      <c r="L88" s="10">
        <v>1</v>
      </c>
      <c r="M88" s="10">
        <v>4</v>
      </c>
    </row>
    <row r="89" spans="1:13" ht="16.5" customHeight="1" x14ac:dyDescent="0.35">
      <c r="A89" s="8">
        <v>3318</v>
      </c>
      <c r="B89" s="8" t="s">
        <v>112</v>
      </c>
      <c r="C89" s="8" t="s">
        <v>9</v>
      </c>
      <c r="D89" s="9">
        <v>45435</v>
      </c>
      <c r="E89" s="8" t="s">
        <v>4</v>
      </c>
      <c r="F89" s="10">
        <v>15</v>
      </c>
      <c r="G89" s="8" t="s">
        <v>1</v>
      </c>
      <c r="H89" s="8" t="s">
        <v>5</v>
      </c>
      <c r="I89" s="10">
        <v>30</v>
      </c>
      <c r="J89" s="8" t="s">
        <v>5</v>
      </c>
      <c r="K89" s="10">
        <v>20</v>
      </c>
      <c r="L89" s="10">
        <v>3</v>
      </c>
      <c r="M89" s="10">
        <v>62</v>
      </c>
    </row>
    <row r="90" spans="1:13" ht="16.5" customHeight="1" x14ac:dyDescent="0.35">
      <c r="A90" s="8">
        <v>3319</v>
      </c>
      <c r="B90" s="8" t="s">
        <v>113</v>
      </c>
      <c r="C90" s="8" t="s">
        <v>8</v>
      </c>
      <c r="D90" s="9">
        <v>45436</v>
      </c>
      <c r="E90" s="8" t="s">
        <v>5</v>
      </c>
      <c r="F90" s="10">
        <v>10</v>
      </c>
      <c r="G90" s="8" t="s">
        <v>23</v>
      </c>
      <c r="H90" s="8" t="s">
        <v>4</v>
      </c>
      <c r="I90" s="10" t="s">
        <v>25</v>
      </c>
      <c r="J90" s="8" t="s">
        <v>5</v>
      </c>
      <c r="K90" s="10">
        <v>20</v>
      </c>
      <c r="L90" s="10">
        <v>10</v>
      </c>
      <c r="M90" s="10">
        <v>20</v>
      </c>
    </row>
    <row r="91" spans="1:13" ht="16.5" customHeight="1" x14ac:dyDescent="0.35">
      <c r="A91" s="8">
        <v>3320</v>
      </c>
      <c r="B91" s="8" t="s">
        <v>114</v>
      </c>
      <c r="C91" s="8" t="s">
        <v>7</v>
      </c>
      <c r="D91" s="9">
        <v>45437</v>
      </c>
      <c r="E91" s="8" t="s">
        <v>4</v>
      </c>
      <c r="F91" s="10">
        <v>5</v>
      </c>
      <c r="G91" s="8" t="s">
        <v>27</v>
      </c>
      <c r="H91" s="8" t="s">
        <v>4</v>
      </c>
      <c r="I91" s="10" t="s">
        <v>25</v>
      </c>
      <c r="J91" s="8" t="s">
        <v>4</v>
      </c>
      <c r="K91" s="10">
        <v>0</v>
      </c>
      <c r="L91" s="10">
        <v>0</v>
      </c>
      <c r="M91" s="10">
        <v>5</v>
      </c>
    </row>
    <row r="92" spans="1:13" ht="16.5" customHeight="1" x14ac:dyDescent="0.35">
      <c r="A92" s="8">
        <v>3321</v>
      </c>
      <c r="B92" s="8" t="s">
        <v>115</v>
      </c>
      <c r="C92" s="8" t="s">
        <v>9</v>
      </c>
      <c r="D92" s="9">
        <v>45438</v>
      </c>
      <c r="E92" s="8" t="s">
        <v>5</v>
      </c>
      <c r="F92" s="10">
        <v>15</v>
      </c>
      <c r="G92" s="8" t="s">
        <v>23</v>
      </c>
      <c r="H92" s="8" t="s">
        <v>5</v>
      </c>
      <c r="I92" s="10">
        <v>30</v>
      </c>
      <c r="J92" s="8" t="s">
        <v>5</v>
      </c>
      <c r="K92" s="10">
        <v>20</v>
      </c>
      <c r="L92" s="10">
        <v>5</v>
      </c>
      <c r="M92" s="10">
        <v>60</v>
      </c>
    </row>
    <row r="93" spans="1:13" ht="16.5" customHeight="1" x14ac:dyDescent="0.35">
      <c r="A93" s="8">
        <v>3322</v>
      </c>
      <c r="B93" s="8" t="s">
        <v>116</v>
      </c>
      <c r="C93" s="8" t="s">
        <v>8</v>
      </c>
      <c r="D93" s="9">
        <v>45439</v>
      </c>
      <c r="E93" s="8" t="s">
        <v>4</v>
      </c>
      <c r="F93" s="10">
        <v>10</v>
      </c>
      <c r="G93" s="8" t="s">
        <v>1</v>
      </c>
      <c r="H93" s="8" t="s">
        <v>4</v>
      </c>
      <c r="I93" s="10" t="s">
        <v>25</v>
      </c>
      <c r="J93" s="8" t="s">
        <v>5</v>
      </c>
      <c r="K93" s="10">
        <v>20</v>
      </c>
      <c r="L93" s="10">
        <v>15</v>
      </c>
      <c r="M93" s="10">
        <v>15</v>
      </c>
    </row>
    <row r="94" spans="1:13" ht="16.5" customHeight="1" x14ac:dyDescent="0.35">
      <c r="A94" s="8">
        <v>3323</v>
      </c>
      <c r="B94" s="8" t="s">
        <v>117</v>
      </c>
      <c r="C94" s="8" t="s">
        <v>7</v>
      </c>
      <c r="D94" s="9">
        <v>45440</v>
      </c>
      <c r="E94" s="8" t="s">
        <v>5</v>
      </c>
      <c r="F94" s="10">
        <v>5</v>
      </c>
      <c r="G94" s="8" t="s">
        <v>23</v>
      </c>
      <c r="H94" s="8" t="s">
        <v>4</v>
      </c>
      <c r="I94" s="10" t="s">
        <v>25</v>
      </c>
      <c r="J94" s="8" t="s">
        <v>4</v>
      </c>
      <c r="K94" s="10">
        <v>0</v>
      </c>
      <c r="L94" s="10">
        <v>1</v>
      </c>
      <c r="M94" s="10">
        <v>4</v>
      </c>
    </row>
    <row r="95" spans="1:13" ht="16.5" customHeight="1" x14ac:dyDescent="0.35">
      <c r="A95" s="8">
        <v>3324</v>
      </c>
      <c r="B95" s="8" t="s">
        <v>118</v>
      </c>
      <c r="C95" s="8" t="s">
        <v>9</v>
      </c>
      <c r="D95" s="9">
        <v>45441</v>
      </c>
      <c r="E95" s="8" t="s">
        <v>4</v>
      </c>
      <c r="F95" s="10">
        <v>15</v>
      </c>
      <c r="G95" s="8" t="s">
        <v>27</v>
      </c>
      <c r="H95" s="8" t="s">
        <v>5</v>
      </c>
      <c r="I95" s="10">
        <v>30</v>
      </c>
      <c r="J95" s="8" t="s">
        <v>5</v>
      </c>
      <c r="K95" s="10">
        <v>20</v>
      </c>
      <c r="L95" s="10">
        <v>20</v>
      </c>
      <c r="M95" s="10">
        <v>45</v>
      </c>
    </row>
    <row r="96" spans="1:13" ht="16.5" customHeight="1" x14ac:dyDescent="0.35">
      <c r="A96" s="8">
        <v>3325</v>
      </c>
      <c r="B96" s="8" t="s">
        <v>119</v>
      </c>
      <c r="C96" s="8" t="s">
        <v>8</v>
      </c>
      <c r="D96" s="9">
        <v>45442</v>
      </c>
      <c r="E96" s="8" t="s">
        <v>5</v>
      </c>
      <c r="F96" s="10">
        <v>10</v>
      </c>
      <c r="G96" s="8" t="s">
        <v>27</v>
      </c>
      <c r="H96" s="8" t="s">
        <v>4</v>
      </c>
      <c r="I96" s="10" t="s">
        <v>25</v>
      </c>
      <c r="J96" s="8" t="s">
        <v>5</v>
      </c>
      <c r="K96" s="10">
        <v>20</v>
      </c>
      <c r="L96" s="10">
        <v>15</v>
      </c>
      <c r="M96" s="10">
        <v>15</v>
      </c>
    </row>
    <row r="97" spans="1:13" ht="16.5" customHeight="1" x14ac:dyDescent="0.35">
      <c r="A97" s="8">
        <v>3326</v>
      </c>
      <c r="B97" s="8" t="s">
        <v>120</v>
      </c>
      <c r="C97" s="8" t="s">
        <v>7</v>
      </c>
      <c r="D97" s="9">
        <v>45443</v>
      </c>
      <c r="E97" s="8" t="s">
        <v>4</v>
      </c>
      <c r="F97" s="10">
        <v>5</v>
      </c>
      <c r="G97" s="8" t="s">
        <v>1</v>
      </c>
      <c r="H97" s="8" t="s">
        <v>4</v>
      </c>
      <c r="I97" s="10" t="s">
        <v>25</v>
      </c>
      <c r="J97" s="8" t="s">
        <v>4</v>
      </c>
      <c r="K97" s="10">
        <v>0</v>
      </c>
      <c r="L97" s="10">
        <v>0</v>
      </c>
      <c r="M97" s="10">
        <v>5</v>
      </c>
    </row>
    <row r="98" spans="1:13" ht="16.5" customHeight="1" x14ac:dyDescent="0.35">
      <c r="A98" s="8">
        <v>3327</v>
      </c>
      <c r="B98" s="8" t="s">
        <v>121</v>
      </c>
      <c r="C98" s="8" t="s">
        <v>9</v>
      </c>
      <c r="D98" s="9">
        <v>45444</v>
      </c>
      <c r="E98" s="8" t="s">
        <v>5</v>
      </c>
      <c r="F98" s="10">
        <v>15</v>
      </c>
      <c r="G98" s="8" t="s">
        <v>23</v>
      </c>
      <c r="H98" s="8" t="s">
        <v>5</v>
      </c>
      <c r="I98" s="10">
        <v>30</v>
      </c>
      <c r="J98" s="8" t="s">
        <v>5</v>
      </c>
      <c r="K98" s="10">
        <v>20</v>
      </c>
      <c r="L98" s="10">
        <v>7</v>
      </c>
      <c r="M98" s="10">
        <v>58</v>
      </c>
    </row>
    <row r="99" spans="1:13" ht="16.5" customHeight="1" x14ac:dyDescent="0.35">
      <c r="A99" s="8">
        <v>3328</v>
      </c>
      <c r="B99" s="8" t="s">
        <v>122</v>
      </c>
      <c r="C99" s="8" t="s">
        <v>8</v>
      </c>
      <c r="D99" s="9">
        <v>45445</v>
      </c>
      <c r="E99" s="8" t="s">
        <v>4</v>
      </c>
      <c r="F99" s="10">
        <v>10</v>
      </c>
      <c r="G99" s="8" t="s">
        <v>1</v>
      </c>
      <c r="H99" s="8" t="s">
        <v>4</v>
      </c>
      <c r="I99" s="10" t="s">
        <v>25</v>
      </c>
      <c r="J99" s="8" t="s">
        <v>5</v>
      </c>
      <c r="K99" s="10">
        <v>20</v>
      </c>
      <c r="L99" s="10">
        <v>10</v>
      </c>
      <c r="M99" s="10">
        <v>20</v>
      </c>
    </row>
    <row r="100" spans="1:13" ht="16.5" customHeight="1" x14ac:dyDescent="0.35">
      <c r="A100" s="8">
        <v>3329</v>
      </c>
      <c r="B100" s="8" t="s">
        <v>123</v>
      </c>
      <c r="C100" s="8" t="s">
        <v>7</v>
      </c>
      <c r="D100" s="9">
        <v>45446</v>
      </c>
      <c r="E100" s="8" t="s">
        <v>5</v>
      </c>
      <c r="F100" s="10">
        <v>5</v>
      </c>
      <c r="G100" s="8" t="s">
        <v>27</v>
      </c>
      <c r="H100" s="8" t="s">
        <v>4</v>
      </c>
      <c r="I100" s="10" t="s">
        <v>25</v>
      </c>
      <c r="J100" s="8" t="s">
        <v>4</v>
      </c>
      <c r="K100" s="10">
        <v>0</v>
      </c>
      <c r="L100" s="10">
        <v>1</v>
      </c>
      <c r="M100" s="10">
        <v>4</v>
      </c>
    </row>
    <row r="101" spans="1:13" ht="16.5" customHeight="1" x14ac:dyDescent="0.35">
      <c r="A101" s="8">
        <v>3330</v>
      </c>
      <c r="B101" s="8" t="s">
        <v>124</v>
      </c>
      <c r="C101" s="8" t="s">
        <v>9</v>
      </c>
      <c r="D101" s="9">
        <v>45447</v>
      </c>
      <c r="E101" s="8" t="s">
        <v>4</v>
      </c>
      <c r="F101" s="10">
        <v>15</v>
      </c>
      <c r="G101" s="8" t="s">
        <v>23</v>
      </c>
      <c r="H101" s="8" t="s">
        <v>5</v>
      </c>
      <c r="I101" s="10">
        <v>30</v>
      </c>
      <c r="J101" s="8" t="s">
        <v>5</v>
      </c>
      <c r="K101" s="10">
        <v>20</v>
      </c>
      <c r="L101" s="10">
        <v>15</v>
      </c>
      <c r="M101" s="10">
        <v>50</v>
      </c>
    </row>
    <row r="102" spans="1:13" ht="16.5" customHeight="1" x14ac:dyDescent="0.35">
      <c r="A102" s="8">
        <v>3331</v>
      </c>
      <c r="B102" s="8" t="s">
        <v>125</v>
      </c>
      <c r="C102" s="8" t="s">
        <v>8</v>
      </c>
      <c r="D102" s="9">
        <v>45448</v>
      </c>
      <c r="E102" s="8" t="s">
        <v>5</v>
      </c>
      <c r="F102" s="10">
        <v>10</v>
      </c>
      <c r="G102" s="8" t="s">
        <v>23</v>
      </c>
      <c r="H102" s="8" t="s">
        <v>4</v>
      </c>
      <c r="I102" s="10" t="s">
        <v>25</v>
      </c>
      <c r="J102" s="8" t="s">
        <v>5</v>
      </c>
      <c r="K102" s="10">
        <v>20</v>
      </c>
      <c r="L102" s="10">
        <v>5</v>
      </c>
      <c r="M102" s="10">
        <v>25</v>
      </c>
    </row>
    <row r="103" spans="1:13" ht="16.5" customHeight="1" x14ac:dyDescent="0.35">
      <c r="A103" s="8">
        <v>3332</v>
      </c>
      <c r="B103" s="8" t="s">
        <v>126</v>
      </c>
      <c r="C103" s="8" t="s">
        <v>7</v>
      </c>
      <c r="D103" s="9">
        <v>45449</v>
      </c>
      <c r="E103" s="8" t="s">
        <v>4</v>
      </c>
      <c r="F103" s="10">
        <v>5</v>
      </c>
      <c r="G103" s="8" t="s">
        <v>1</v>
      </c>
      <c r="H103" s="8" t="s">
        <v>4</v>
      </c>
      <c r="I103" s="10" t="s">
        <v>25</v>
      </c>
      <c r="J103" s="8" t="s">
        <v>4</v>
      </c>
      <c r="K103" s="10">
        <v>0</v>
      </c>
      <c r="L103" s="10">
        <v>0</v>
      </c>
      <c r="M103" s="10">
        <v>5</v>
      </c>
    </row>
    <row r="104" spans="1:13" ht="16.5" customHeight="1" x14ac:dyDescent="0.35">
      <c r="A104" s="8">
        <v>3333</v>
      </c>
      <c r="B104" s="8" t="s">
        <v>127</v>
      </c>
      <c r="C104" s="8" t="s">
        <v>9</v>
      </c>
      <c r="D104" s="9">
        <v>45450</v>
      </c>
      <c r="E104" s="8" t="s">
        <v>5</v>
      </c>
      <c r="F104" s="10">
        <v>15</v>
      </c>
      <c r="G104" s="8" t="s">
        <v>27</v>
      </c>
      <c r="H104" s="8" t="s">
        <v>5</v>
      </c>
      <c r="I104" s="10">
        <v>30</v>
      </c>
      <c r="J104" s="8" t="s">
        <v>5</v>
      </c>
      <c r="K104" s="10">
        <v>20</v>
      </c>
      <c r="L104" s="10">
        <v>20</v>
      </c>
      <c r="M104" s="10">
        <v>45</v>
      </c>
    </row>
    <row r="105" spans="1:13" ht="16.5" customHeight="1" x14ac:dyDescent="0.35">
      <c r="A105" s="8">
        <v>3334</v>
      </c>
      <c r="B105" s="8" t="s">
        <v>128</v>
      </c>
      <c r="C105" s="8" t="s">
        <v>8</v>
      </c>
      <c r="D105" s="9">
        <v>45451</v>
      </c>
      <c r="E105" s="8" t="s">
        <v>4</v>
      </c>
      <c r="F105" s="10">
        <v>10</v>
      </c>
      <c r="G105" s="8" t="s">
        <v>27</v>
      </c>
      <c r="H105" s="8" t="s">
        <v>4</v>
      </c>
      <c r="I105" s="10" t="s">
        <v>25</v>
      </c>
      <c r="J105" s="8" t="s">
        <v>5</v>
      </c>
      <c r="K105" s="10">
        <v>20</v>
      </c>
      <c r="L105" s="10">
        <v>12</v>
      </c>
      <c r="M105" s="10">
        <v>18</v>
      </c>
    </row>
    <row r="106" spans="1:13" ht="16.5" customHeight="1" x14ac:dyDescent="0.35">
      <c r="A106" s="8">
        <v>3335</v>
      </c>
      <c r="B106" s="8" t="s">
        <v>129</v>
      </c>
      <c r="C106" s="8" t="s">
        <v>7</v>
      </c>
      <c r="D106" s="9">
        <v>45452</v>
      </c>
      <c r="E106" s="8" t="s">
        <v>5</v>
      </c>
      <c r="F106" s="10">
        <v>5</v>
      </c>
      <c r="G106" s="8" t="s">
        <v>23</v>
      </c>
      <c r="H106" s="8" t="s">
        <v>4</v>
      </c>
      <c r="I106" s="10" t="s">
        <v>25</v>
      </c>
      <c r="J106" s="8" t="s">
        <v>4</v>
      </c>
      <c r="K106" s="10">
        <v>0</v>
      </c>
      <c r="L106" s="10">
        <v>2</v>
      </c>
      <c r="M106" s="10">
        <v>3</v>
      </c>
    </row>
    <row r="107" spans="1:13" ht="16.5" customHeight="1" x14ac:dyDescent="0.35">
      <c r="A107" s="8">
        <v>3336</v>
      </c>
      <c r="B107" s="8" t="s">
        <v>130</v>
      </c>
      <c r="C107" s="8" t="s">
        <v>7</v>
      </c>
      <c r="D107" s="9">
        <v>45453</v>
      </c>
      <c r="E107" s="8" t="s">
        <v>5</v>
      </c>
      <c r="F107" s="10">
        <v>5</v>
      </c>
      <c r="G107" s="8" t="s">
        <v>23</v>
      </c>
      <c r="H107" s="8" t="s">
        <v>4</v>
      </c>
      <c r="I107" s="10" t="s">
        <v>25</v>
      </c>
      <c r="J107" s="8" t="s">
        <v>4</v>
      </c>
      <c r="K107" s="10">
        <v>0</v>
      </c>
      <c r="L107" s="10">
        <v>0</v>
      </c>
      <c r="M107" s="10">
        <v>5</v>
      </c>
    </row>
    <row r="108" spans="1:13" ht="16.5" customHeight="1" x14ac:dyDescent="0.35">
      <c r="A108" s="8">
        <v>3337</v>
      </c>
      <c r="B108" s="8" t="s">
        <v>131</v>
      </c>
      <c r="C108" s="8" t="s">
        <v>9</v>
      </c>
      <c r="D108" s="9">
        <v>45454</v>
      </c>
      <c r="E108" s="8" t="s">
        <v>4</v>
      </c>
      <c r="F108" s="10">
        <v>15</v>
      </c>
      <c r="G108" s="8" t="s">
        <v>27</v>
      </c>
      <c r="H108" s="8" t="s">
        <v>5</v>
      </c>
      <c r="I108" s="10">
        <v>30</v>
      </c>
      <c r="J108" s="8" t="s">
        <v>5</v>
      </c>
      <c r="K108" s="10">
        <v>20</v>
      </c>
      <c r="L108" s="10">
        <v>7</v>
      </c>
      <c r="M108" s="10">
        <v>58</v>
      </c>
    </row>
    <row r="109" spans="1:13" ht="16.5" customHeight="1" x14ac:dyDescent="0.35">
      <c r="A109" s="8">
        <v>3338</v>
      </c>
      <c r="B109" s="8" t="s">
        <v>132</v>
      </c>
      <c r="C109" s="8" t="s">
        <v>8</v>
      </c>
      <c r="D109" s="9">
        <v>45455</v>
      </c>
      <c r="E109" s="8" t="s">
        <v>5</v>
      </c>
      <c r="F109" s="10">
        <v>10</v>
      </c>
      <c r="G109" s="8" t="s">
        <v>1</v>
      </c>
      <c r="H109" s="8" t="s">
        <v>4</v>
      </c>
      <c r="I109" s="10" t="s">
        <v>25</v>
      </c>
      <c r="J109" s="8" t="s">
        <v>5</v>
      </c>
      <c r="K109" s="10">
        <v>20</v>
      </c>
      <c r="L109" s="10">
        <v>10</v>
      </c>
      <c r="M109" s="10">
        <v>20</v>
      </c>
    </row>
    <row r="110" spans="1:13" ht="16.5" customHeight="1" x14ac:dyDescent="0.35">
      <c r="A110" s="8">
        <v>3339</v>
      </c>
      <c r="B110" s="8" t="s">
        <v>133</v>
      </c>
      <c r="C110" s="8" t="s">
        <v>7</v>
      </c>
      <c r="D110" s="9">
        <v>45456</v>
      </c>
      <c r="E110" s="8" t="s">
        <v>4</v>
      </c>
      <c r="F110" s="10">
        <v>5</v>
      </c>
      <c r="G110" s="8" t="s">
        <v>27</v>
      </c>
      <c r="H110" s="8" t="s">
        <v>4</v>
      </c>
      <c r="I110" s="10" t="s">
        <v>25</v>
      </c>
      <c r="J110" s="8" t="s">
        <v>4</v>
      </c>
      <c r="K110" s="10">
        <v>0</v>
      </c>
      <c r="L110" s="10">
        <v>1</v>
      </c>
      <c r="M110" s="10">
        <v>4</v>
      </c>
    </row>
    <row r="111" spans="1:13" ht="16.5" customHeight="1" x14ac:dyDescent="0.35">
      <c r="A111" s="8">
        <v>3340</v>
      </c>
      <c r="B111" s="8" t="s">
        <v>134</v>
      </c>
      <c r="C111" s="8" t="s">
        <v>9</v>
      </c>
      <c r="D111" s="9">
        <v>45457</v>
      </c>
      <c r="E111" s="8" t="s">
        <v>5</v>
      </c>
      <c r="F111" s="10">
        <v>15</v>
      </c>
      <c r="G111" s="8" t="s">
        <v>23</v>
      </c>
      <c r="H111" s="8" t="s">
        <v>5</v>
      </c>
      <c r="I111" s="10">
        <v>30</v>
      </c>
      <c r="J111" s="8" t="s">
        <v>5</v>
      </c>
      <c r="K111" s="10">
        <v>20</v>
      </c>
      <c r="L111" s="10">
        <v>15</v>
      </c>
      <c r="M111" s="10">
        <v>50</v>
      </c>
    </row>
    <row r="112" spans="1:13" ht="16.5" customHeight="1" x14ac:dyDescent="0.35">
      <c r="A112" s="8">
        <v>3341</v>
      </c>
      <c r="B112" s="8" t="s">
        <v>135</v>
      </c>
      <c r="C112" s="8" t="s">
        <v>8</v>
      </c>
      <c r="D112" s="9">
        <v>45458</v>
      </c>
      <c r="E112" s="8" t="s">
        <v>4</v>
      </c>
      <c r="F112" s="10">
        <v>10</v>
      </c>
      <c r="G112" s="8" t="s">
        <v>23</v>
      </c>
      <c r="H112" s="8" t="s">
        <v>4</v>
      </c>
      <c r="I112" s="10" t="s">
        <v>25</v>
      </c>
      <c r="J112" s="8" t="s">
        <v>5</v>
      </c>
      <c r="K112" s="10">
        <v>20</v>
      </c>
      <c r="L112" s="10">
        <v>5</v>
      </c>
      <c r="M112" s="10">
        <v>25</v>
      </c>
    </row>
    <row r="113" spans="1:13" ht="16.5" customHeight="1" x14ac:dyDescent="0.35">
      <c r="A113" s="8">
        <v>3342</v>
      </c>
      <c r="B113" s="8" t="s">
        <v>136</v>
      </c>
      <c r="C113" s="8" t="s">
        <v>7</v>
      </c>
      <c r="D113" s="9">
        <v>45459</v>
      </c>
      <c r="E113" s="8" t="s">
        <v>5</v>
      </c>
      <c r="F113" s="10">
        <v>5</v>
      </c>
      <c r="G113" s="8" t="s">
        <v>1</v>
      </c>
      <c r="H113" s="8" t="s">
        <v>4</v>
      </c>
      <c r="I113" s="10" t="s">
        <v>25</v>
      </c>
      <c r="J113" s="8" t="s">
        <v>4</v>
      </c>
      <c r="K113" s="10">
        <v>0</v>
      </c>
      <c r="L113" s="10">
        <v>0</v>
      </c>
      <c r="M113" s="10">
        <v>5</v>
      </c>
    </row>
    <row r="114" spans="1:13" ht="16.5" customHeight="1" x14ac:dyDescent="0.35">
      <c r="A114" s="8">
        <v>3343</v>
      </c>
      <c r="B114" s="8" t="s">
        <v>137</v>
      </c>
      <c r="C114" s="8" t="s">
        <v>9</v>
      </c>
      <c r="D114" s="9">
        <v>45460</v>
      </c>
      <c r="E114" s="8" t="s">
        <v>4</v>
      </c>
      <c r="F114" s="10">
        <v>15</v>
      </c>
      <c r="G114" s="8" t="s">
        <v>27</v>
      </c>
      <c r="H114" s="8" t="s">
        <v>5</v>
      </c>
      <c r="I114" s="10">
        <v>30</v>
      </c>
      <c r="J114" s="8" t="s">
        <v>5</v>
      </c>
      <c r="K114" s="10">
        <v>20</v>
      </c>
      <c r="L114" s="10">
        <v>20</v>
      </c>
      <c r="M114" s="10">
        <v>45</v>
      </c>
    </row>
    <row r="115" spans="1:13" ht="16.5" customHeight="1" x14ac:dyDescent="0.35">
      <c r="A115" s="8">
        <v>3344</v>
      </c>
      <c r="B115" s="8" t="s">
        <v>138</v>
      </c>
      <c r="C115" s="8" t="s">
        <v>8</v>
      </c>
      <c r="D115" s="9">
        <v>45461</v>
      </c>
      <c r="E115" s="8" t="s">
        <v>5</v>
      </c>
      <c r="F115" s="10">
        <v>10</v>
      </c>
      <c r="G115" s="8" t="s">
        <v>27</v>
      </c>
      <c r="H115" s="8" t="s">
        <v>4</v>
      </c>
      <c r="I115" s="10" t="s">
        <v>25</v>
      </c>
      <c r="J115" s="8" t="s">
        <v>5</v>
      </c>
      <c r="K115" s="10">
        <v>20</v>
      </c>
      <c r="L115" s="10">
        <v>12</v>
      </c>
      <c r="M115" s="10">
        <v>18</v>
      </c>
    </row>
    <row r="116" spans="1:13" ht="16.5" customHeight="1" x14ac:dyDescent="0.35">
      <c r="A116" s="8">
        <v>3345</v>
      </c>
      <c r="B116" s="8" t="s">
        <v>139</v>
      </c>
      <c r="C116" s="8" t="s">
        <v>7</v>
      </c>
      <c r="D116" s="9">
        <v>45462</v>
      </c>
      <c r="E116" s="8" t="s">
        <v>4</v>
      </c>
      <c r="F116" s="10">
        <v>5</v>
      </c>
      <c r="G116" s="8" t="s">
        <v>23</v>
      </c>
      <c r="H116" s="8" t="s">
        <v>4</v>
      </c>
      <c r="I116" s="10" t="s">
        <v>25</v>
      </c>
      <c r="J116" s="8" t="s">
        <v>4</v>
      </c>
      <c r="K116" s="10">
        <v>0</v>
      </c>
      <c r="L116" s="10">
        <v>2</v>
      </c>
      <c r="M116" s="10">
        <v>3</v>
      </c>
    </row>
    <row r="117" spans="1:13" ht="16.5" customHeight="1" x14ac:dyDescent="0.35">
      <c r="A117" s="8">
        <v>3346</v>
      </c>
      <c r="B117" s="8" t="s">
        <v>140</v>
      </c>
      <c r="C117" s="8" t="s">
        <v>9</v>
      </c>
      <c r="D117" s="9">
        <v>45463</v>
      </c>
      <c r="E117" s="8" t="s">
        <v>5</v>
      </c>
      <c r="F117" s="10">
        <v>15</v>
      </c>
      <c r="G117" s="8" t="s">
        <v>1</v>
      </c>
      <c r="H117" s="8" t="s">
        <v>5</v>
      </c>
      <c r="I117" s="10">
        <v>30</v>
      </c>
      <c r="J117" s="8" t="s">
        <v>5</v>
      </c>
      <c r="K117" s="10">
        <v>20</v>
      </c>
      <c r="L117" s="10">
        <v>5</v>
      </c>
      <c r="M117" s="10">
        <v>60</v>
      </c>
    </row>
    <row r="118" spans="1:13" ht="16.5" customHeight="1" x14ac:dyDescent="0.35">
      <c r="A118" s="8">
        <v>3347</v>
      </c>
      <c r="B118" s="8" t="s">
        <v>141</v>
      </c>
      <c r="C118" s="8" t="s">
        <v>8</v>
      </c>
      <c r="D118" s="9">
        <v>45464</v>
      </c>
      <c r="E118" s="8" t="s">
        <v>4</v>
      </c>
      <c r="F118" s="10">
        <v>10</v>
      </c>
      <c r="G118" s="8" t="s">
        <v>23</v>
      </c>
      <c r="H118" s="8" t="s">
        <v>4</v>
      </c>
      <c r="I118" s="10" t="s">
        <v>25</v>
      </c>
      <c r="J118" s="8" t="s">
        <v>5</v>
      </c>
      <c r="K118" s="10">
        <v>20</v>
      </c>
      <c r="L118" s="10">
        <v>10</v>
      </c>
      <c r="M118" s="10">
        <v>20</v>
      </c>
    </row>
    <row r="119" spans="1:13" ht="16.5" customHeight="1" x14ac:dyDescent="0.35">
      <c r="A119" s="8">
        <v>3348</v>
      </c>
      <c r="B119" s="8" t="s">
        <v>142</v>
      </c>
      <c r="C119" s="8" t="s">
        <v>7</v>
      </c>
      <c r="D119" s="9">
        <v>45465</v>
      </c>
      <c r="E119" s="8" t="s">
        <v>5</v>
      </c>
      <c r="F119" s="10">
        <v>5</v>
      </c>
      <c r="G119" s="8" t="s">
        <v>27</v>
      </c>
      <c r="H119" s="8" t="s">
        <v>4</v>
      </c>
      <c r="I119" s="10" t="s">
        <v>25</v>
      </c>
      <c r="J119" s="8" t="s">
        <v>4</v>
      </c>
      <c r="K119" s="10">
        <v>0</v>
      </c>
      <c r="L119" s="10">
        <v>0</v>
      </c>
      <c r="M119" s="10">
        <v>5</v>
      </c>
    </row>
    <row r="120" spans="1:13" ht="16.5" customHeight="1" x14ac:dyDescent="0.35">
      <c r="A120" s="8">
        <v>3349</v>
      </c>
      <c r="B120" s="8" t="s">
        <v>118</v>
      </c>
      <c r="C120" s="8" t="s">
        <v>9</v>
      </c>
      <c r="D120" s="9">
        <v>45466</v>
      </c>
      <c r="E120" s="8" t="s">
        <v>4</v>
      </c>
      <c r="F120" s="10">
        <v>15</v>
      </c>
      <c r="G120" s="8" t="s">
        <v>23</v>
      </c>
      <c r="H120" s="8" t="s">
        <v>5</v>
      </c>
      <c r="I120" s="10">
        <v>30</v>
      </c>
      <c r="J120" s="8" t="s">
        <v>5</v>
      </c>
      <c r="K120" s="10">
        <v>20</v>
      </c>
      <c r="L120" s="10">
        <v>3</v>
      </c>
      <c r="M120" s="10">
        <v>62</v>
      </c>
    </row>
    <row r="121" spans="1:13" ht="16.5" customHeight="1" x14ac:dyDescent="0.35">
      <c r="A121" s="8">
        <v>3350</v>
      </c>
      <c r="B121" s="8" t="s">
        <v>143</v>
      </c>
      <c r="C121" s="8" t="s">
        <v>8</v>
      </c>
      <c r="D121" s="9">
        <v>45467</v>
      </c>
      <c r="E121" s="8" t="s">
        <v>5</v>
      </c>
      <c r="F121" s="10">
        <v>10</v>
      </c>
      <c r="G121" s="8" t="s">
        <v>1</v>
      </c>
      <c r="H121" s="8" t="s">
        <v>4</v>
      </c>
      <c r="I121" s="10" t="s">
        <v>25</v>
      </c>
      <c r="J121" s="8" t="s">
        <v>5</v>
      </c>
      <c r="K121" s="10">
        <v>20</v>
      </c>
      <c r="L121" s="10">
        <v>15</v>
      </c>
      <c r="M121" s="10">
        <v>15</v>
      </c>
    </row>
    <row r="122" spans="1:13" ht="16.5" customHeight="1" x14ac:dyDescent="0.35">
      <c r="A122" s="8">
        <v>3351</v>
      </c>
      <c r="B122" s="8" t="s">
        <v>144</v>
      </c>
      <c r="C122" s="8" t="s">
        <v>7</v>
      </c>
      <c r="D122" s="9">
        <v>45468</v>
      </c>
      <c r="E122" s="8" t="s">
        <v>4</v>
      </c>
      <c r="F122" s="10">
        <v>5</v>
      </c>
      <c r="G122" s="8" t="s">
        <v>23</v>
      </c>
      <c r="H122" s="8" t="s">
        <v>4</v>
      </c>
      <c r="I122" s="10" t="s">
        <v>25</v>
      </c>
      <c r="J122" s="8" t="s">
        <v>4</v>
      </c>
      <c r="K122" s="10">
        <v>0</v>
      </c>
      <c r="L122" s="10">
        <v>1</v>
      </c>
      <c r="M122" s="10">
        <v>4</v>
      </c>
    </row>
    <row r="123" spans="1:13" ht="16.5" customHeight="1" x14ac:dyDescent="0.35">
      <c r="A123" s="8">
        <v>3352</v>
      </c>
      <c r="B123" s="8" t="s">
        <v>145</v>
      </c>
      <c r="C123" s="8" t="s">
        <v>9</v>
      </c>
      <c r="D123" s="9">
        <v>45469</v>
      </c>
      <c r="E123" s="8" t="s">
        <v>5</v>
      </c>
      <c r="F123" s="10">
        <v>15</v>
      </c>
      <c r="G123" s="8" t="s">
        <v>27</v>
      </c>
      <c r="H123" s="8" t="s">
        <v>5</v>
      </c>
      <c r="I123" s="10">
        <v>30</v>
      </c>
      <c r="J123" s="8" t="s">
        <v>5</v>
      </c>
      <c r="K123" s="10">
        <v>20</v>
      </c>
      <c r="L123" s="10">
        <v>7</v>
      </c>
      <c r="M123" s="10">
        <v>58</v>
      </c>
    </row>
    <row r="124" spans="1:13" ht="16.5" customHeight="1" x14ac:dyDescent="0.35">
      <c r="A124" s="8">
        <v>3353</v>
      </c>
      <c r="B124" s="8" t="s">
        <v>146</v>
      </c>
      <c r="C124" s="8" t="s">
        <v>8</v>
      </c>
      <c r="D124" s="9">
        <v>45470</v>
      </c>
      <c r="E124" s="8" t="s">
        <v>4</v>
      </c>
      <c r="F124" s="10">
        <v>10</v>
      </c>
      <c r="G124" s="8" t="s">
        <v>23</v>
      </c>
      <c r="H124" s="8" t="s">
        <v>4</v>
      </c>
      <c r="I124" s="10" t="s">
        <v>25</v>
      </c>
      <c r="J124" s="8" t="s">
        <v>5</v>
      </c>
      <c r="K124" s="10">
        <v>20</v>
      </c>
      <c r="L124" s="10">
        <v>10</v>
      </c>
      <c r="M124" s="10">
        <v>20</v>
      </c>
    </row>
    <row r="125" spans="1:13" ht="16.5" customHeight="1" x14ac:dyDescent="0.35">
      <c r="A125" s="8">
        <v>3354</v>
      </c>
      <c r="B125" s="8" t="s">
        <v>147</v>
      </c>
      <c r="C125" s="8" t="s">
        <v>7</v>
      </c>
      <c r="D125" s="9">
        <v>45471</v>
      </c>
      <c r="E125" s="8" t="s">
        <v>5</v>
      </c>
      <c r="F125" s="10">
        <v>5</v>
      </c>
      <c r="G125" s="8" t="s">
        <v>1</v>
      </c>
      <c r="H125" s="8" t="s">
        <v>4</v>
      </c>
      <c r="I125" s="10" t="s">
        <v>25</v>
      </c>
      <c r="J125" s="8" t="s">
        <v>4</v>
      </c>
      <c r="K125" s="10">
        <v>0</v>
      </c>
      <c r="L125" s="10">
        <v>0</v>
      </c>
      <c r="M125" s="10">
        <v>5</v>
      </c>
    </row>
    <row r="126" spans="1:13" ht="16.5" customHeight="1" x14ac:dyDescent="0.35">
      <c r="A126" s="8">
        <v>3355</v>
      </c>
      <c r="B126" s="8" t="s">
        <v>148</v>
      </c>
      <c r="C126" s="8" t="s">
        <v>9</v>
      </c>
      <c r="D126" s="9">
        <v>45472</v>
      </c>
      <c r="E126" s="8" t="s">
        <v>4</v>
      </c>
      <c r="F126" s="10">
        <v>15</v>
      </c>
      <c r="G126" s="8" t="s">
        <v>23</v>
      </c>
      <c r="H126" s="8" t="s">
        <v>5</v>
      </c>
      <c r="I126" s="10">
        <v>30</v>
      </c>
      <c r="J126" s="8" t="s">
        <v>5</v>
      </c>
      <c r="K126" s="10">
        <v>20</v>
      </c>
      <c r="L126" s="10">
        <v>20</v>
      </c>
      <c r="M126" s="10">
        <v>45</v>
      </c>
    </row>
    <row r="127" spans="1:13" ht="16.5" customHeight="1" x14ac:dyDescent="0.35">
      <c r="A127" s="8">
        <v>3356</v>
      </c>
      <c r="B127" s="8" t="s">
        <v>149</v>
      </c>
      <c r="C127" s="8" t="s">
        <v>8</v>
      </c>
      <c r="D127" s="9">
        <v>45473</v>
      </c>
      <c r="E127" s="8" t="s">
        <v>5</v>
      </c>
      <c r="F127" s="10">
        <v>10</v>
      </c>
      <c r="G127" s="8" t="s">
        <v>27</v>
      </c>
      <c r="H127" s="8" t="s">
        <v>4</v>
      </c>
      <c r="I127" s="10" t="s">
        <v>25</v>
      </c>
      <c r="J127" s="8" t="s">
        <v>5</v>
      </c>
      <c r="K127" s="10">
        <v>20</v>
      </c>
      <c r="L127" s="10">
        <v>15</v>
      </c>
      <c r="M127" s="10">
        <v>15</v>
      </c>
    </row>
    <row r="128" spans="1:13" ht="16.5" customHeight="1" x14ac:dyDescent="0.35">
      <c r="A128" s="8">
        <v>3357</v>
      </c>
      <c r="B128" s="8" t="s">
        <v>150</v>
      </c>
      <c r="C128" s="8" t="s">
        <v>7</v>
      </c>
      <c r="D128" s="9">
        <v>45474</v>
      </c>
      <c r="E128" s="8" t="s">
        <v>4</v>
      </c>
      <c r="F128" s="10">
        <v>5</v>
      </c>
      <c r="G128" s="8" t="s">
        <v>23</v>
      </c>
      <c r="H128" s="8" t="s">
        <v>4</v>
      </c>
      <c r="I128" s="10" t="s">
        <v>25</v>
      </c>
      <c r="J128" s="8" t="s">
        <v>4</v>
      </c>
      <c r="K128" s="10">
        <v>0</v>
      </c>
      <c r="L128" s="10">
        <v>1</v>
      </c>
      <c r="M128" s="10">
        <v>4</v>
      </c>
    </row>
    <row r="129" spans="1:13" ht="16.5" customHeight="1" x14ac:dyDescent="0.35">
      <c r="A129" s="8">
        <v>3358</v>
      </c>
      <c r="B129" s="8" t="s">
        <v>151</v>
      </c>
      <c r="C129" s="8" t="s">
        <v>9</v>
      </c>
      <c r="D129" s="9">
        <v>45475</v>
      </c>
      <c r="E129" s="8" t="s">
        <v>5</v>
      </c>
      <c r="F129" s="10">
        <v>15</v>
      </c>
      <c r="G129" s="8" t="s">
        <v>1</v>
      </c>
      <c r="H129" s="8" t="s">
        <v>5</v>
      </c>
      <c r="I129" s="10">
        <v>30</v>
      </c>
      <c r="J129" s="8" t="s">
        <v>5</v>
      </c>
      <c r="K129" s="10">
        <v>20</v>
      </c>
      <c r="L129" s="10">
        <v>3</v>
      </c>
      <c r="M129" s="10">
        <v>62</v>
      </c>
    </row>
    <row r="130" spans="1:13" ht="16.5" customHeight="1" x14ac:dyDescent="0.35">
      <c r="A130" s="8">
        <v>3359</v>
      </c>
      <c r="B130" s="8" t="s">
        <v>152</v>
      </c>
      <c r="C130" s="8" t="s">
        <v>8</v>
      </c>
      <c r="D130" s="9">
        <v>45476</v>
      </c>
      <c r="E130" s="8" t="s">
        <v>4</v>
      </c>
      <c r="F130" s="10">
        <v>10</v>
      </c>
      <c r="G130" s="8" t="s">
        <v>23</v>
      </c>
      <c r="H130" s="8" t="s">
        <v>4</v>
      </c>
      <c r="I130" s="10" t="s">
        <v>25</v>
      </c>
      <c r="J130" s="8" t="s">
        <v>5</v>
      </c>
      <c r="K130" s="10">
        <v>20</v>
      </c>
      <c r="L130" s="10">
        <v>10</v>
      </c>
      <c r="M130" s="10">
        <v>20</v>
      </c>
    </row>
    <row r="131" spans="1:13" ht="16.5" customHeight="1" x14ac:dyDescent="0.35">
      <c r="A131" s="8">
        <v>3360</v>
      </c>
      <c r="B131" s="8" t="s">
        <v>153</v>
      </c>
      <c r="C131" s="8" t="s">
        <v>7</v>
      </c>
      <c r="D131" s="9">
        <v>45477</v>
      </c>
      <c r="E131" s="8" t="s">
        <v>5</v>
      </c>
      <c r="F131" s="10">
        <v>5</v>
      </c>
      <c r="G131" s="8" t="s">
        <v>27</v>
      </c>
      <c r="H131" s="8" t="s">
        <v>4</v>
      </c>
      <c r="I131" s="10" t="s">
        <v>25</v>
      </c>
      <c r="J131" s="8" t="s">
        <v>4</v>
      </c>
      <c r="K131" s="10">
        <v>0</v>
      </c>
      <c r="L131" s="10">
        <v>0</v>
      </c>
      <c r="M131" s="10">
        <v>5</v>
      </c>
    </row>
    <row r="132" spans="1:13" ht="16.5" customHeight="1" x14ac:dyDescent="0.35">
      <c r="A132" s="8">
        <v>3361</v>
      </c>
      <c r="B132" s="8" t="s">
        <v>154</v>
      </c>
      <c r="C132" s="8" t="s">
        <v>9</v>
      </c>
      <c r="D132" s="9">
        <v>45478</v>
      </c>
      <c r="E132" s="8" t="s">
        <v>4</v>
      </c>
      <c r="F132" s="10">
        <v>15</v>
      </c>
      <c r="G132" s="8" t="s">
        <v>23</v>
      </c>
      <c r="H132" s="8" t="s">
        <v>5</v>
      </c>
      <c r="I132" s="10">
        <v>30</v>
      </c>
      <c r="J132" s="8" t="s">
        <v>5</v>
      </c>
      <c r="K132" s="10">
        <v>20</v>
      </c>
      <c r="L132" s="10">
        <v>15</v>
      </c>
      <c r="M132" s="10">
        <v>50</v>
      </c>
    </row>
    <row r="133" spans="1:13" ht="16.5" customHeight="1" x14ac:dyDescent="0.35">
      <c r="A133" s="8">
        <v>3362</v>
      </c>
      <c r="B133" s="8" t="s">
        <v>155</v>
      </c>
      <c r="C133" s="8" t="s">
        <v>8</v>
      </c>
      <c r="D133" s="9">
        <v>45479</v>
      </c>
      <c r="E133" s="8" t="s">
        <v>5</v>
      </c>
      <c r="F133" s="10">
        <v>10</v>
      </c>
      <c r="G133" s="8" t="s">
        <v>1</v>
      </c>
      <c r="H133" s="8" t="s">
        <v>4</v>
      </c>
      <c r="I133" s="10" t="s">
        <v>25</v>
      </c>
      <c r="J133" s="8" t="s">
        <v>5</v>
      </c>
      <c r="K133" s="10">
        <v>20</v>
      </c>
      <c r="L133" s="10">
        <v>15</v>
      </c>
      <c r="M133" s="10">
        <v>15</v>
      </c>
    </row>
    <row r="134" spans="1:13" ht="16.5" customHeight="1" x14ac:dyDescent="0.35">
      <c r="A134" s="8">
        <v>3363</v>
      </c>
      <c r="B134" s="8" t="s">
        <v>156</v>
      </c>
      <c r="C134" s="8" t="s">
        <v>7</v>
      </c>
      <c r="D134" s="9">
        <v>45480</v>
      </c>
      <c r="E134" s="8" t="s">
        <v>4</v>
      </c>
      <c r="F134" s="10">
        <v>5</v>
      </c>
      <c r="G134" s="8" t="s">
        <v>23</v>
      </c>
      <c r="H134" s="8" t="s">
        <v>4</v>
      </c>
      <c r="I134" s="10" t="s">
        <v>25</v>
      </c>
      <c r="J134" s="8" t="s">
        <v>4</v>
      </c>
      <c r="K134" s="10">
        <v>0</v>
      </c>
      <c r="L134" s="10">
        <v>1</v>
      </c>
      <c r="M134" s="10">
        <v>4</v>
      </c>
    </row>
    <row r="135" spans="1:13" ht="16.5" customHeight="1" x14ac:dyDescent="0.35">
      <c r="A135" s="8">
        <v>3364</v>
      </c>
      <c r="B135" s="8" t="s">
        <v>157</v>
      </c>
      <c r="C135" s="8" t="s">
        <v>9</v>
      </c>
      <c r="D135" s="9">
        <v>45481</v>
      </c>
      <c r="E135" s="8" t="s">
        <v>5</v>
      </c>
      <c r="F135" s="10">
        <v>15</v>
      </c>
      <c r="G135" s="8" t="s">
        <v>27</v>
      </c>
      <c r="H135" s="8" t="s">
        <v>5</v>
      </c>
      <c r="I135" s="10">
        <v>30</v>
      </c>
      <c r="J135" s="8" t="s">
        <v>5</v>
      </c>
      <c r="K135" s="10">
        <v>20</v>
      </c>
      <c r="L135" s="10">
        <v>7</v>
      </c>
      <c r="M135" s="10">
        <v>58</v>
      </c>
    </row>
    <row r="136" spans="1:13" ht="16.5" customHeight="1" x14ac:dyDescent="0.35">
      <c r="A136" s="8">
        <v>3365</v>
      </c>
      <c r="B136" s="8" t="s">
        <v>158</v>
      </c>
      <c r="C136" s="8" t="s">
        <v>8</v>
      </c>
      <c r="D136" s="9">
        <v>45482</v>
      </c>
      <c r="E136" s="8" t="s">
        <v>4</v>
      </c>
      <c r="F136" s="10">
        <v>10</v>
      </c>
      <c r="G136" s="8" t="s">
        <v>23</v>
      </c>
      <c r="H136" s="8" t="s">
        <v>4</v>
      </c>
      <c r="I136" s="10" t="s">
        <v>25</v>
      </c>
      <c r="J136" s="8" t="s">
        <v>5</v>
      </c>
      <c r="K136" s="10">
        <v>20</v>
      </c>
      <c r="L136" s="10">
        <v>10</v>
      </c>
      <c r="M136" s="10">
        <v>20</v>
      </c>
    </row>
    <row r="137" spans="1:13" ht="16.5" customHeight="1" x14ac:dyDescent="0.35">
      <c r="A137" s="8">
        <v>3366</v>
      </c>
      <c r="B137" s="8" t="s">
        <v>159</v>
      </c>
      <c r="C137" s="8" t="s">
        <v>7</v>
      </c>
      <c r="D137" s="9">
        <v>45483</v>
      </c>
      <c r="E137" s="8" t="s">
        <v>5</v>
      </c>
      <c r="F137" s="10">
        <v>5</v>
      </c>
      <c r="G137" s="8" t="s">
        <v>23</v>
      </c>
      <c r="H137" s="8" t="s">
        <v>4</v>
      </c>
      <c r="I137" s="10" t="s">
        <v>25</v>
      </c>
      <c r="J137" s="8" t="s">
        <v>4</v>
      </c>
      <c r="K137" s="10">
        <v>0</v>
      </c>
      <c r="L137" s="10">
        <v>0</v>
      </c>
      <c r="M137" s="10">
        <v>5</v>
      </c>
    </row>
    <row r="138" spans="1:13" ht="16.5" customHeight="1" x14ac:dyDescent="0.35">
      <c r="A138" s="8">
        <v>3367</v>
      </c>
      <c r="B138" s="8" t="s">
        <v>160</v>
      </c>
      <c r="C138" s="8" t="s">
        <v>9</v>
      </c>
      <c r="D138" s="9">
        <v>45484</v>
      </c>
      <c r="E138" s="8" t="s">
        <v>4</v>
      </c>
      <c r="F138" s="10">
        <v>15</v>
      </c>
      <c r="G138" s="8" t="s">
        <v>27</v>
      </c>
      <c r="H138" s="8" t="s">
        <v>5</v>
      </c>
      <c r="I138" s="10">
        <v>30</v>
      </c>
      <c r="J138" s="8" t="s">
        <v>5</v>
      </c>
      <c r="K138" s="10">
        <v>20</v>
      </c>
      <c r="L138" s="10">
        <v>7</v>
      </c>
      <c r="M138" s="10">
        <v>58</v>
      </c>
    </row>
    <row r="139" spans="1:13" ht="16.5" customHeight="1" x14ac:dyDescent="0.35">
      <c r="A139" s="8">
        <v>3368</v>
      </c>
      <c r="B139" s="8" t="s">
        <v>161</v>
      </c>
      <c r="C139" s="8" t="s">
        <v>8</v>
      </c>
      <c r="D139" s="9">
        <v>45485</v>
      </c>
      <c r="E139" s="8" t="s">
        <v>5</v>
      </c>
      <c r="F139" s="10">
        <v>10</v>
      </c>
      <c r="G139" s="8" t="s">
        <v>1</v>
      </c>
      <c r="H139" s="8" t="s">
        <v>4</v>
      </c>
      <c r="I139" s="10" t="s">
        <v>25</v>
      </c>
      <c r="J139" s="8" t="s">
        <v>5</v>
      </c>
      <c r="K139" s="10">
        <v>20</v>
      </c>
      <c r="L139" s="10">
        <v>10</v>
      </c>
      <c r="M139" s="10">
        <v>20</v>
      </c>
    </row>
    <row r="140" spans="1:13" ht="16.5" customHeight="1" x14ac:dyDescent="0.35">
      <c r="A140" s="8">
        <v>3369</v>
      </c>
      <c r="B140" s="8" t="s">
        <v>162</v>
      </c>
      <c r="C140" s="8" t="s">
        <v>7</v>
      </c>
      <c r="D140" s="9">
        <v>45486</v>
      </c>
      <c r="E140" s="8" t="s">
        <v>4</v>
      </c>
      <c r="F140" s="10">
        <v>5</v>
      </c>
      <c r="G140" s="8" t="s">
        <v>27</v>
      </c>
      <c r="H140" s="8" t="s">
        <v>4</v>
      </c>
      <c r="I140" s="10" t="s">
        <v>25</v>
      </c>
      <c r="J140" s="8" t="s">
        <v>4</v>
      </c>
      <c r="K140" s="10">
        <v>0</v>
      </c>
      <c r="L140" s="10">
        <v>1</v>
      </c>
      <c r="M140" s="10">
        <v>4</v>
      </c>
    </row>
    <row r="141" spans="1:13" ht="16.5" customHeight="1" x14ac:dyDescent="0.35">
      <c r="A141" s="8">
        <v>3370</v>
      </c>
      <c r="B141" s="8" t="s">
        <v>163</v>
      </c>
      <c r="C141" s="8" t="s">
        <v>9</v>
      </c>
      <c r="D141" s="9">
        <v>45487</v>
      </c>
      <c r="E141" s="8" t="s">
        <v>5</v>
      </c>
      <c r="F141" s="10">
        <v>15</v>
      </c>
      <c r="G141" s="8" t="s">
        <v>23</v>
      </c>
      <c r="H141" s="8" t="s">
        <v>5</v>
      </c>
      <c r="I141" s="10">
        <v>30</v>
      </c>
      <c r="J141" s="8" t="s">
        <v>5</v>
      </c>
      <c r="K141" s="10">
        <v>20</v>
      </c>
      <c r="L141" s="10">
        <v>15</v>
      </c>
      <c r="M141" s="10">
        <v>50</v>
      </c>
    </row>
    <row r="142" spans="1:13" ht="16.5" customHeight="1" x14ac:dyDescent="0.35">
      <c r="A142" s="8">
        <v>3371</v>
      </c>
      <c r="B142" s="8" t="s">
        <v>164</v>
      </c>
      <c r="C142" s="8" t="s">
        <v>8</v>
      </c>
      <c r="D142" s="9">
        <v>45488</v>
      </c>
      <c r="E142" s="8" t="s">
        <v>4</v>
      </c>
      <c r="F142" s="10">
        <v>10</v>
      </c>
      <c r="G142" s="8" t="s">
        <v>23</v>
      </c>
      <c r="H142" s="8" t="s">
        <v>4</v>
      </c>
      <c r="I142" s="10" t="s">
        <v>25</v>
      </c>
      <c r="J142" s="8" t="s">
        <v>5</v>
      </c>
      <c r="K142" s="10">
        <v>20</v>
      </c>
      <c r="L142" s="10">
        <v>5</v>
      </c>
      <c r="M142" s="10">
        <v>25</v>
      </c>
    </row>
    <row r="143" spans="1:13" ht="16.5" customHeight="1" x14ac:dyDescent="0.35">
      <c r="A143" s="8">
        <v>3372</v>
      </c>
      <c r="B143" s="8" t="s">
        <v>165</v>
      </c>
      <c r="C143" s="8" t="s">
        <v>7</v>
      </c>
      <c r="D143" s="9">
        <v>45489</v>
      </c>
      <c r="E143" s="8" t="s">
        <v>5</v>
      </c>
      <c r="F143" s="10">
        <v>5</v>
      </c>
      <c r="G143" s="8" t="s">
        <v>1</v>
      </c>
      <c r="H143" s="8" t="s">
        <v>4</v>
      </c>
      <c r="I143" s="10" t="s">
        <v>25</v>
      </c>
      <c r="J143" s="8" t="s">
        <v>4</v>
      </c>
      <c r="K143" s="10">
        <v>0</v>
      </c>
      <c r="L143" s="10">
        <v>0</v>
      </c>
      <c r="M143" s="10">
        <v>5</v>
      </c>
    </row>
    <row r="144" spans="1:13" ht="16.5" customHeight="1" x14ac:dyDescent="0.35">
      <c r="A144" s="8">
        <v>3373</v>
      </c>
      <c r="B144" s="8" t="s">
        <v>166</v>
      </c>
      <c r="C144" s="8" t="s">
        <v>9</v>
      </c>
      <c r="D144" s="9">
        <v>45490</v>
      </c>
      <c r="E144" s="8" t="s">
        <v>4</v>
      </c>
      <c r="F144" s="10">
        <v>15</v>
      </c>
      <c r="G144" s="8" t="s">
        <v>27</v>
      </c>
      <c r="H144" s="8" t="s">
        <v>5</v>
      </c>
      <c r="I144" s="10">
        <v>30</v>
      </c>
      <c r="J144" s="8" t="s">
        <v>5</v>
      </c>
      <c r="K144" s="10">
        <v>20</v>
      </c>
      <c r="L144" s="10">
        <v>20</v>
      </c>
      <c r="M144" s="10">
        <v>45</v>
      </c>
    </row>
    <row r="145" spans="1:13" ht="16.5" customHeight="1" x14ac:dyDescent="0.35">
      <c r="A145" s="8">
        <v>3374</v>
      </c>
      <c r="B145" s="8" t="s">
        <v>167</v>
      </c>
      <c r="C145" s="8" t="s">
        <v>8</v>
      </c>
      <c r="D145" s="9">
        <v>45491</v>
      </c>
      <c r="E145" s="8" t="s">
        <v>5</v>
      </c>
      <c r="F145" s="10">
        <v>10</v>
      </c>
      <c r="G145" s="8" t="s">
        <v>27</v>
      </c>
      <c r="H145" s="8" t="s">
        <v>4</v>
      </c>
      <c r="I145" s="10" t="s">
        <v>25</v>
      </c>
      <c r="J145" s="8" t="s">
        <v>5</v>
      </c>
      <c r="K145" s="10">
        <v>20</v>
      </c>
      <c r="L145" s="10">
        <v>12</v>
      </c>
      <c r="M145" s="10">
        <v>18</v>
      </c>
    </row>
    <row r="146" spans="1:13" ht="16.5" customHeight="1" x14ac:dyDescent="0.35">
      <c r="A146" s="8">
        <v>3375</v>
      </c>
      <c r="B146" s="8" t="s">
        <v>168</v>
      </c>
      <c r="C146" s="8" t="s">
        <v>7</v>
      </c>
      <c r="D146" s="9">
        <v>45492</v>
      </c>
      <c r="E146" s="8" t="s">
        <v>4</v>
      </c>
      <c r="F146" s="10">
        <v>5</v>
      </c>
      <c r="G146" s="8" t="s">
        <v>23</v>
      </c>
      <c r="H146" s="8" t="s">
        <v>4</v>
      </c>
      <c r="I146" s="10" t="s">
        <v>25</v>
      </c>
      <c r="J146" s="8" t="s">
        <v>4</v>
      </c>
      <c r="K146" s="10">
        <v>0</v>
      </c>
      <c r="L146" s="10">
        <v>2</v>
      </c>
      <c r="M146" s="10">
        <v>3</v>
      </c>
    </row>
    <row r="147" spans="1:13" ht="16.5" customHeight="1" x14ac:dyDescent="0.35">
      <c r="A147" s="8">
        <v>3376</v>
      </c>
      <c r="B147" s="8" t="s">
        <v>169</v>
      </c>
      <c r="C147" s="8" t="s">
        <v>9</v>
      </c>
      <c r="D147" s="9">
        <v>45493</v>
      </c>
      <c r="E147" s="8" t="s">
        <v>5</v>
      </c>
      <c r="F147" s="10">
        <v>15</v>
      </c>
      <c r="G147" s="8" t="s">
        <v>1</v>
      </c>
      <c r="H147" s="8" t="s">
        <v>5</v>
      </c>
      <c r="I147" s="10">
        <v>30</v>
      </c>
      <c r="J147" s="8" t="s">
        <v>5</v>
      </c>
      <c r="K147" s="10">
        <v>20</v>
      </c>
      <c r="L147" s="10">
        <v>5</v>
      </c>
      <c r="M147" s="10">
        <v>60</v>
      </c>
    </row>
    <row r="148" spans="1:13" ht="16.5" customHeight="1" x14ac:dyDescent="0.35">
      <c r="A148" s="8">
        <v>3377</v>
      </c>
      <c r="B148" s="8" t="s">
        <v>170</v>
      </c>
      <c r="C148" s="8" t="s">
        <v>8</v>
      </c>
      <c r="D148" s="9">
        <v>45494</v>
      </c>
      <c r="E148" s="8" t="s">
        <v>4</v>
      </c>
      <c r="F148" s="10">
        <v>10</v>
      </c>
      <c r="G148" s="8" t="s">
        <v>23</v>
      </c>
      <c r="H148" s="8" t="s">
        <v>4</v>
      </c>
      <c r="I148" s="10" t="s">
        <v>25</v>
      </c>
      <c r="J148" s="8" t="s">
        <v>5</v>
      </c>
      <c r="K148" s="10">
        <v>20</v>
      </c>
      <c r="L148" s="10">
        <v>10</v>
      </c>
      <c r="M148" s="10">
        <v>20</v>
      </c>
    </row>
    <row r="149" spans="1:13" ht="16.5" customHeight="1" x14ac:dyDescent="0.35">
      <c r="A149" s="8">
        <v>3378</v>
      </c>
      <c r="B149" s="8" t="s">
        <v>171</v>
      </c>
      <c r="C149" s="8" t="s">
        <v>7</v>
      </c>
      <c r="D149" s="9">
        <v>45495</v>
      </c>
      <c r="E149" s="8" t="s">
        <v>5</v>
      </c>
      <c r="F149" s="10">
        <v>5</v>
      </c>
      <c r="G149" s="8" t="s">
        <v>27</v>
      </c>
      <c r="H149" s="8" t="s">
        <v>4</v>
      </c>
      <c r="I149" s="10" t="s">
        <v>25</v>
      </c>
      <c r="J149" s="8" t="s">
        <v>4</v>
      </c>
      <c r="K149" s="10">
        <v>0</v>
      </c>
      <c r="L149" s="10">
        <v>0</v>
      </c>
      <c r="M149" s="10">
        <v>5</v>
      </c>
    </row>
    <row r="150" spans="1:13" ht="16.5" customHeight="1" x14ac:dyDescent="0.35">
      <c r="A150" s="8">
        <v>3379</v>
      </c>
      <c r="B150" s="8" t="s">
        <v>172</v>
      </c>
      <c r="C150" s="8" t="s">
        <v>9</v>
      </c>
      <c r="D150" s="9">
        <v>45496</v>
      </c>
      <c r="E150" s="8" t="s">
        <v>4</v>
      </c>
      <c r="F150" s="10">
        <v>15</v>
      </c>
      <c r="G150" s="8" t="s">
        <v>23</v>
      </c>
      <c r="H150" s="8" t="s">
        <v>5</v>
      </c>
      <c r="I150" s="10">
        <v>30</v>
      </c>
      <c r="J150" s="8" t="s">
        <v>5</v>
      </c>
      <c r="K150" s="10">
        <v>20</v>
      </c>
      <c r="L150" s="10">
        <v>3</v>
      </c>
      <c r="M150" s="10">
        <v>62</v>
      </c>
    </row>
    <row r="151" spans="1:13" ht="16.5" customHeight="1" x14ac:dyDescent="0.35">
      <c r="A151" s="8">
        <v>3380</v>
      </c>
      <c r="B151" s="8" t="s">
        <v>173</v>
      </c>
      <c r="C151" s="8" t="s">
        <v>8</v>
      </c>
      <c r="D151" s="9">
        <v>45497</v>
      </c>
      <c r="E151" s="8" t="s">
        <v>5</v>
      </c>
      <c r="F151" s="10">
        <v>10</v>
      </c>
      <c r="G151" s="8" t="s">
        <v>1</v>
      </c>
      <c r="H151" s="8" t="s">
        <v>4</v>
      </c>
      <c r="I151" s="10" t="s">
        <v>25</v>
      </c>
      <c r="J151" s="8" t="s">
        <v>5</v>
      </c>
      <c r="K151" s="10">
        <v>20</v>
      </c>
      <c r="L151" s="10">
        <v>15</v>
      </c>
      <c r="M151" s="10">
        <v>15</v>
      </c>
    </row>
    <row r="152" spans="1:13" ht="16.5" customHeight="1" x14ac:dyDescent="0.35">
      <c r="A152" s="8">
        <v>3381</v>
      </c>
      <c r="B152" s="8" t="s">
        <v>174</v>
      </c>
      <c r="C152" s="8" t="s">
        <v>7</v>
      </c>
      <c r="D152" s="9">
        <v>45498</v>
      </c>
      <c r="E152" s="8" t="s">
        <v>4</v>
      </c>
      <c r="F152" s="10">
        <v>5</v>
      </c>
      <c r="G152" s="8" t="s">
        <v>23</v>
      </c>
      <c r="H152" s="8" t="s">
        <v>4</v>
      </c>
      <c r="I152" s="10" t="s">
        <v>25</v>
      </c>
      <c r="J152" s="8" t="s">
        <v>4</v>
      </c>
      <c r="K152" s="10">
        <v>0</v>
      </c>
      <c r="L152" s="10">
        <v>1</v>
      </c>
      <c r="M152" s="10">
        <v>4</v>
      </c>
    </row>
    <row r="153" spans="1:13" ht="16.5" customHeight="1" x14ac:dyDescent="0.35">
      <c r="A153" s="8">
        <v>3382</v>
      </c>
      <c r="B153" s="8" t="s">
        <v>175</v>
      </c>
      <c r="C153" s="8" t="s">
        <v>9</v>
      </c>
      <c r="D153" s="9">
        <v>45499</v>
      </c>
      <c r="E153" s="8" t="s">
        <v>5</v>
      </c>
      <c r="F153" s="10">
        <v>15</v>
      </c>
      <c r="G153" s="8" t="s">
        <v>27</v>
      </c>
      <c r="H153" s="8" t="s">
        <v>5</v>
      </c>
      <c r="I153" s="10">
        <v>30</v>
      </c>
      <c r="J153" s="8" t="s">
        <v>5</v>
      </c>
      <c r="K153" s="10">
        <v>20</v>
      </c>
      <c r="L153" s="10">
        <v>7</v>
      </c>
      <c r="M153" s="10">
        <v>58</v>
      </c>
    </row>
    <row r="154" spans="1:13" ht="16.5" customHeight="1" x14ac:dyDescent="0.35">
      <c r="A154" s="8">
        <v>3383</v>
      </c>
      <c r="B154" s="8" t="s">
        <v>176</v>
      </c>
      <c r="C154" s="8" t="s">
        <v>8</v>
      </c>
      <c r="D154" s="9">
        <v>45500</v>
      </c>
      <c r="E154" s="8" t="s">
        <v>4</v>
      </c>
      <c r="F154" s="10">
        <v>10</v>
      </c>
      <c r="G154" s="8" t="s">
        <v>23</v>
      </c>
      <c r="H154" s="8" t="s">
        <v>4</v>
      </c>
      <c r="I154" s="10" t="s">
        <v>25</v>
      </c>
      <c r="J154" s="8" t="s">
        <v>5</v>
      </c>
      <c r="K154" s="10">
        <v>20</v>
      </c>
      <c r="L154" s="10">
        <v>10</v>
      </c>
      <c r="M154" s="10">
        <v>20</v>
      </c>
    </row>
    <row r="155" spans="1:13" ht="16.5" customHeight="1" x14ac:dyDescent="0.35">
      <c r="A155" s="8">
        <v>3384</v>
      </c>
      <c r="B155" s="8" t="s">
        <v>177</v>
      </c>
      <c r="C155" s="8" t="s">
        <v>7</v>
      </c>
      <c r="D155" s="9">
        <v>45501</v>
      </c>
      <c r="E155" s="8" t="s">
        <v>5</v>
      </c>
      <c r="F155" s="10">
        <v>5</v>
      </c>
      <c r="G155" s="8" t="s">
        <v>1</v>
      </c>
      <c r="H155" s="8" t="s">
        <v>4</v>
      </c>
      <c r="I155" s="10" t="s">
        <v>25</v>
      </c>
      <c r="J155" s="8" t="s">
        <v>4</v>
      </c>
      <c r="K155" s="10">
        <v>0</v>
      </c>
      <c r="L155" s="10">
        <v>0</v>
      </c>
      <c r="M155" s="10">
        <v>5</v>
      </c>
    </row>
    <row r="156" spans="1:13" ht="16.5" customHeight="1" x14ac:dyDescent="0.35">
      <c r="A156" s="8">
        <v>3385</v>
      </c>
      <c r="B156" s="8" t="s">
        <v>178</v>
      </c>
      <c r="C156" s="8" t="s">
        <v>9</v>
      </c>
      <c r="D156" s="9">
        <v>45502</v>
      </c>
      <c r="E156" s="8" t="s">
        <v>4</v>
      </c>
      <c r="F156" s="10">
        <v>15</v>
      </c>
      <c r="G156" s="8" t="s">
        <v>23</v>
      </c>
      <c r="H156" s="8" t="s">
        <v>5</v>
      </c>
      <c r="I156" s="10">
        <v>30</v>
      </c>
      <c r="J156" s="8" t="s">
        <v>5</v>
      </c>
      <c r="K156" s="10">
        <v>20</v>
      </c>
      <c r="L156" s="10">
        <v>20</v>
      </c>
      <c r="M156" s="10">
        <v>45</v>
      </c>
    </row>
    <row r="157" spans="1:13" ht="16.5" customHeight="1" x14ac:dyDescent="0.35">
      <c r="A157" s="8">
        <v>3386</v>
      </c>
      <c r="B157" s="8" t="s">
        <v>179</v>
      </c>
      <c r="C157" s="8" t="s">
        <v>8</v>
      </c>
      <c r="D157" s="9">
        <v>45503</v>
      </c>
      <c r="E157" s="8" t="s">
        <v>5</v>
      </c>
      <c r="F157" s="10">
        <v>10</v>
      </c>
      <c r="G157" s="8" t="s">
        <v>27</v>
      </c>
      <c r="H157" s="8" t="s">
        <v>4</v>
      </c>
      <c r="I157" s="10" t="s">
        <v>25</v>
      </c>
      <c r="J157" s="8" t="s">
        <v>5</v>
      </c>
      <c r="K157" s="10">
        <v>20</v>
      </c>
      <c r="L157" s="10">
        <v>15</v>
      </c>
      <c r="M157" s="10">
        <v>15</v>
      </c>
    </row>
    <row r="158" spans="1:13" ht="16.5" customHeight="1" x14ac:dyDescent="0.35">
      <c r="A158" s="8">
        <v>3387</v>
      </c>
      <c r="B158" s="8" t="s">
        <v>180</v>
      </c>
      <c r="C158" s="8" t="s">
        <v>7</v>
      </c>
      <c r="D158" s="9">
        <v>45504</v>
      </c>
      <c r="E158" s="8" t="s">
        <v>4</v>
      </c>
      <c r="F158" s="10">
        <v>5</v>
      </c>
      <c r="G158" s="8" t="s">
        <v>23</v>
      </c>
      <c r="H158" s="8" t="s">
        <v>4</v>
      </c>
      <c r="I158" s="10" t="s">
        <v>25</v>
      </c>
      <c r="J158" s="8" t="s">
        <v>4</v>
      </c>
      <c r="K158" s="10">
        <v>0</v>
      </c>
      <c r="L158" s="10">
        <v>1</v>
      </c>
      <c r="M158" s="10">
        <v>4</v>
      </c>
    </row>
    <row r="159" spans="1:13" ht="16.5" customHeight="1" x14ac:dyDescent="0.35">
      <c r="A159" s="8">
        <v>3388</v>
      </c>
      <c r="B159" s="8" t="s">
        <v>181</v>
      </c>
      <c r="C159" s="8" t="s">
        <v>9</v>
      </c>
      <c r="D159" s="9">
        <v>45505</v>
      </c>
      <c r="E159" s="8" t="s">
        <v>5</v>
      </c>
      <c r="F159" s="10">
        <v>15</v>
      </c>
      <c r="G159" s="8" t="s">
        <v>1</v>
      </c>
      <c r="H159" s="8" t="s">
        <v>5</v>
      </c>
      <c r="I159" s="10">
        <v>30</v>
      </c>
      <c r="J159" s="8" t="s">
        <v>5</v>
      </c>
      <c r="K159" s="10">
        <v>20</v>
      </c>
      <c r="L159" s="10">
        <v>3</v>
      </c>
      <c r="M159" s="10">
        <v>62</v>
      </c>
    </row>
    <row r="160" spans="1:13" ht="16.5" customHeight="1" x14ac:dyDescent="0.35">
      <c r="A160" s="8">
        <v>3389</v>
      </c>
      <c r="B160" s="8" t="s">
        <v>182</v>
      </c>
      <c r="C160" s="8" t="s">
        <v>8</v>
      </c>
      <c r="D160" s="9">
        <v>45506</v>
      </c>
      <c r="E160" s="8" t="s">
        <v>4</v>
      </c>
      <c r="F160" s="10">
        <v>10</v>
      </c>
      <c r="G160" s="8" t="s">
        <v>23</v>
      </c>
      <c r="H160" s="8" t="s">
        <v>4</v>
      </c>
      <c r="I160" s="10" t="s">
        <v>25</v>
      </c>
      <c r="J160" s="8" t="s">
        <v>5</v>
      </c>
      <c r="K160" s="10">
        <v>20</v>
      </c>
      <c r="L160" s="10">
        <v>10</v>
      </c>
      <c r="M160" s="10">
        <v>20</v>
      </c>
    </row>
    <row r="161" spans="1:13" ht="16.5" customHeight="1" x14ac:dyDescent="0.35">
      <c r="A161" s="8">
        <v>3390</v>
      </c>
      <c r="B161" s="8" t="s">
        <v>183</v>
      </c>
      <c r="C161" s="8" t="s">
        <v>7</v>
      </c>
      <c r="D161" s="9">
        <v>45507</v>
      </c>
      <c r="E161" s="8" t="s">
        <v>5</v>
      </c>
      <c r="F161" s="10">
        <v>5</v>
      </c>
      <c r="G161" s="8" t="s">
        <v>27</v>
      </c>
      <c r="H161" s="8" t="s">
        <v>4</v>
      </c>
      <c r="I161" s="10" t="s">
        <v>25</v>
      </c>
      <c r="J161" s="8" t="s">
        <v>4</v>
      </c>
      <c r="K161" s="10">
        <v>0</v>
      </c>
      <c r="L161" s="10">
        <v>0</v>
      </c>
      <c r="M161" s="10">
        <v>5</v>
      </c>
    </row>
    <row r="162" spans="1:13" ht="16.5" customHeight="1" x14ac:dyDescent="0.35">
      <c r="A162" s="8">
        <v>3391</v>
      </c>
      <c r="B162" s="8" t="s">
        <v>83</v>
      </c>
      <c r="C162" s="8" t="s">
        <v>9</v>
      </c>
      <c r="D162" s="9">
        <v>45508</v>
      </c>
      <c r="E162" s="8" t="s">
        <v>4</v>
      </c>
      <c r="F162" s="10">
        <v>15</v>
      </c>
      <c r="G162" s="8" t="s">
        <v>23</v>
      </c>
      <c r="H162" s="8" t="s">
        <v>5</v>
      </c>
      <c r="I162" s="10">
        <v>30</v>
      </c>
      <c r="J162" s="8" t="s">
        <v>5</v>
      </c>
      <c r="K162" s="10">
        <v>20</v>
      </c>
      <c r="L162" s="10">
        <v>15</v>
      </c>
      <c r="M162" s="10">
        <v>50</v>
      </c>
    </row>
    <row r="163" spans="1:13" ht="16.5" customHeight="1" x14ac:dyDescent="0.35">
      <c r="A163" s="8">
        <v>3392</v>
      </c>
      <c r="B163" s="8" t="s">
        <v>184</v>
      </c>
      <c r="C163" s="8" t="s">
        <v>8</v>
      </c>
      <c r="D163" s="9">
        <v>45509</v>
      </c>
      <c r="E163" s="8" t="s">
        <v>5</v>
      </c>
      <c r="F163" s="10">
        <v>10</v>
      </c>
      <c r="G163" s="8" t="s">
        <v>1</v>
      </c>
      <c r="H163" s="8" t="s">
        <v>4</v>
      </c>
      <c r="I163" s="10" t="s">
        <v>25</v>
      </c>
      <c r="J163" s="8" t="s">
        <v>5</v>
      </c>
      <c r="K163" s="10">
        <v>20</v>
      </c>
      <c r="L163" s="10">
        <v>15</v>
      </c>
      <c r="M163" s="10">
        <v>15</v>
      </c>
    </row>
    <row r="164" spans="1:13" ht="16.5" customHeight="1" x14ac:dyDescent="0.35">
      <c r="A164" s="8">
        <v>3393</v>
      </c>
      <c r="B164" s="8" t="s">
        <v>185</v>
      </c>
      <c r="C164" s="8" t="s">
        <v>7</v>
      </c>
      <c r="D164" s="9">
        <v>45510</v>
      </c>
      <c r="E164" s="8" t="s">
        <v>4</v>
      </c>
      <c r="F164" s="10">
        <v>5</v>
      </c>
      <c r="G164" s="8" t="s">
        <v>23</v>
      </c>
      <c r="H164" s="8" t="s">
        <v>4</v>
      </c>
      <c r="I164" s="10" t="s">
        <v>25</v>
      </c>
      <c r="J164" s="8" t="s">
        <v>4</v>
      </c>
      <c r="K164" s="10">
        <v>0</v>
      </c>
      <c r="L164" s="10">
        <v>1</v>
      </c>
      <c r="M164" s="10">
        <v>4</v>
      </c>
    </row>
    <row r="165" spans="1:13" ht="16.5" customHeight="1" x14ac:dyDescent="0.35">
      <c r="A165" s="8">
        <v>3394</v>
      </c>
      <c r="B165" s="8" t="s">
        <v>186</v>
      </c>
      <c r="C165" s="8" t="s">
        <v>9</v>
      </c>
      <c r="D165" s="9">
        <v>45511</v>
      </c>
      <c r="E165" s="8" t="s">
        <v>5</v>
      </c>
      <c r="F165" s="10">
        <v>15</v>
      </c>
      <c r="G165" s="8" t="s">
        <v>27</v>
      </c>
      <c r="H165" s="8" t="s">
        <v>5</v>
      </c>
      <c r="I165" s="10">
        <v>30</v>
      </c>
      <c r="J165" s="8" t="s">
        <v>5</v>
      </c>
      <c r="K165" s="10">
        <v>20</v>
      </c>
      <c r="L165" s="10">
        <v>7</v>
      </c>
      <c r="M165" s="10">
        <v>58</v>
      </c>
    </row>
    <row r="166" spans="1:13" ht="16.5" customHeight="1" x14ac:dyDescent="0.35">
      <c r="A166" s="8">
        <v>3395</v>
      </c>
      <c r="B166" s="8" t="s">
        <v>187</v>
      </c>
      <c r="C166" s="8" t="s">
        <v>8</v>
      </c>
      <c r="D166" s="9">
        <v>45512</v>
      </c>
      <c r="E166" s="8" t="s">
        <v>4</v>
      </c>
      <c r="F166" s="10">
        <v>10</v>
      </c>
      <c r="G166" s="8" t="s">
        <v>23</v>
      </c>
      <c r="H166" s="8" t="s">
        <v>4</v>
      </c>
      <c r="I166" s="10" t="s">
        <v>25</v>
      </c>
      <c r="J166" s="8" t="s">
        <v>5</v>
      </c>
      <c r="K166" s="10">
        <v>20</v>
      </c>
      <c r="L166" s="10">
        <v>10</v>
      </c>
      <c r="M166" s="10">
        <v>20</v>
      </c>
    </row>
    <row r="167" spans="1:13" ht="16.5" customHeight="1" x14ac:dyDescent="0.35">
      <c r="A167" s="8">
        <v>3396</v>
      </c>
      <c r="B167" s="8" t="s">
        <v>188</v>
      </c>
      <c r="C167" s="8" t="s">
        <v>7</v>
      </c>
      <c r="D167" s="9">
        <v>45513</v>
      </c>
      <c r="E167" s="8" t="s">
        <v>5</v>
      </c>
      <c r="F167" s="10">
        <v>5</v>
      </c>
      <c r="G167" s="8" t="s">
        <v>1</v>
      </c>
      <c r="H167" s="8" t="s">
        <v>4</v>
      </c>
      <c r="I167" s="10" t="s">
        <v>25</v>
      </c>
      <c r="J167" s="8" t="s">
        <v>4</v>
      </c>
      <c r="K167" s="10">
        <v>0</v>
      </c>
      <c r="L167" s="10">
        <v>0</v>
      </c>
      <c r="M167" s="10">
        <v>5</v>
      </c>
    </row>
    <row r="168" spans="1:13" ht="16.5" customHeight="1" x14ac:dyDescent="0.35">
      <c r="A168" s="8">
        <v>3397</v>
      </c>
      <c r="B168" s="8" t="s">
        <v>115</v>
      </c>
      <c r="C168" s="8" t="s">
        <v>9</v>
      </c>
      <c r="D168" s="9">
        <v>45514</v>
      </c>
      <c r="E168" s="8" t="s">
        <v>4</v>
      </c>
      <c r="F168" s="10">
        <v>15</v>
      </c>
      <c r="G168" s="8" t="s">
        <v>23</v>
      </c>
      <c r="H168" s="8" t="s">
        <v>5</v>
      </c>
      <c r="I168" s="10">
        <v>30</v>
      </c>
      <c r="J168" s="8" t="s">
        <v>5</v>
      </c>
      <c r="K168" s="10">
        <v>20</v>
      </c>
      <c r="L168" s="10">
        <v>20</v>
      </c>
      <c r="M168" s="10">
        <v>45</v>
      </c>
    </row>
    <row r="169" spans="1:13" ht="16.5" customHeight="1" x14ac:dyDescent="0.35">
      <c r="A169" s="8">
        <v>3398</v>
      </c>
      <c r="B169" s="8" t="s">
        <v>189</v>
      </c>
      <c r="C169" s="8" t="s">
        <v>8</v>
      </c>
      <c r="D169" s="9">
        <v>45515</v>
      </c>
      <c r="E169" s="8" t="s">
        <v>5</v>
      </c>
      <c r="F169" s="10">
        <v>10</v>
      </c>
      <c r="G169" s="8" t="s">
        <v>27</v>
      </c>
      <c r="H169" s="8" t="s">
        <v>4</v>
      </c>
      <c r="I169" s="10" t="s">
        <v>25</v>
      </c>
      <c r="J169" s="8" t="s">
        <v>5</v>
      </c>
      <c r="K169" s="10">
        <v>20</v>
      </c>
      <c r="L169" s="10">
        <v>15</v>
      </c>
      <c r="M169" s="10">
        <v>15</v>
      </c>
    </row>
    <row r="170" spans="1:13" ht="16.5" customHeight="1" x14ac:dyDescent="0.35">
      <c r="A170" s="8">
        <v>3399</v>
      </c>
      <c r="B170" s="8" t="s">
        <v>190</v>
      </c>
      <c r="C170" s="8" t="s">
        <v>7</v>
      </c>
      <c r="D170" s="9">
        <v>45516</v>
      </c>
      <c r="E170" s="8" t="s">
        <v>4</v>
      </c>
      <c r="F170" s="10">
        <v>5</v>
      </c>
      <c r="G170" s="8" t="s">
        <v>23</v>
      </c>
      <c r="H170" s="8" t="s">
        <v>4</v>
      </c>
      <c r="I170" s="10" t="s">
        <v>25</v>
      </c>
      <c r="J170" s="8" t="s">
        <v>4</v>
      </c>
      <c r="K170" s="10">
        <v>0</v>
      </c>
      <c r="L170" s="10">
        <v>1</v>
      </c>
      <c r="M170" s="10">
        <v>4</v>
      </c>
    </row>
    <row r="171" spans="1:13" ht="16.5" customHeight="1" x14ac:dyDescent="0.35">
      <c r="A171" s="8">
        <v>3400</v>
      </c>
      <c r="B171" s="8" t="s">
        <v>191</v>
      </c>
      <c r="C171" s="8" t="s">
        <v>9</v>
      </c>
      <c r="D171" s="9">
        <v>45517</v>
      </c>
      <c r="E171" s="8" t="s">
        <v>5</v>
      </c>
      <c r="F171" s="10">
        <v>15</v>
      </c>
      <c r="G171" s="8" t="s">
        <v>1</v>
      </c>
      <c r="H171" s="8" t="s">
        <v>5</v>
      </c>
      <c r="I171" s="10">
        <v>30</v>
      </c>
      <c r="J171" s="8" t="s">
        <v>5</v>
      </c>
      <c r="K171" s="10">
        <v>20</v>
      </c>
      <c r="L171" s="10">
        <v>5</v>
      </c>
      <c r="M171" s="10">
        <v>60</v>
      </c>
    </row>
    <row r="172" spans="1:13" ht="16.5" customHeight="1" x14ac:dyDescent="0.35">
      <c r="A172" s="8">
        <v>3401</v>
      </c>
      <c r="B172" s="8" t="s">
        <v>192</v>
      </c>
      <c r="C172" s="8" t="s">
        <v>8</v>
      </c>
      <c r="D172" s="9">
        <v>45518</v>
      </c>
      <c r="E172" s="8" t="s">
        <v>4</v>
      </c>
      <c r="F172" s="10">
        <v>10</v>
      </c>
      <c r="G172" s="8" t="s">
        <v>23</v>
      </c>
      <c r="H172" s="8" t="s">
        <v>4</v>
      </c>
      <c r="I172" s="10" t="s">
        <v>25</v>
      </c>
      <c r="J172" s="8" t="s">
        <v>5</v>
      </c>
      <c r="K172" s="10">
        <v>20</v>
      </c>
      <c r="L172" s="10">
        <v>10</v>
      </c>
      <c r="M172" s="10">
        <v>20</v>
      </c>
    </row>
    <row r="173" spans="1:13" ht="16.5" customHeight="1" x14ac:dyDescent="0.35">
      <c r="A173" s="8">
        <v>3402</v>
      </c>
      <c r="B173" s="8" t="s">
        <v>193</v>
      </c>
      <c r="C173" s="8" t="s">
        <v>7</v>
      </c>
      <c r="D173" s="9">
        <v>45519</v>
      </c>
      <c r="E173" s="8" t="s">
        <v>5</v>
      </c>
      <c r="F173" s="10">
        <v>5</v>
      </c>
      <c r="G173" s="8" t="s">
        <v>27</v>
      </c>
      <c r="H173" s="8" t="s">
        <v>4</v>
      </c>
      <c r="I173" s="10" t="s">
        <v>25</v>
      </c>
      <c r="J173" s="8" t="s">
        <v>4</v>
      </c>
      <c r="K173" s="10">
        <v>0</v>
      </c>
      <c r="L173" s="10">
        <v>0</v>
      </c>
      <c r="M173" s="10">
        <v>5</v>
      </c>
    </row>
    <row r="174" spans="1:13" ht="16.5" customHeight="1" x14ac:dyDescent="0.35">
      <c r="A174" s="8">
        <v>3403</v>
      </c>
      <c r="B174" s="8" t="s">
        <v>194</v>
      </c>
      <c r="C174" s="8" t="s">
        <v>9</v>
      </c>
      <c r="D174" s="9">
        <v>45520</v>
      </c>
      <c r="E174" s="8" t="s">
        <v>4</v>
      </c>
      <c r="F174" s="10">
        <v>15</v>
      </c>
      <c r="G174" s="8" t="s">
        <v>23</v>
      </c>
      <c r="H174" s="8" t="s">
        <v>5</v>
      </c>
      <c r="I174" s="10">
        <v>30</v>
      </c>
      <c r="J174" s="8" t="s">
        <v>5</v>
      </c>
      <c r="K174" s="10">
        <v>20</v>
      </c>
      <c r="L174" s="10">
        <v>3</v>
      </c>
      <c r="M174" s="10">
        <v>62</v>
      </c>
    </row>
    <row r="175" spans="1:13" ht="16.5" customHeight="1" x14ac:dyDescent="0.35">
      <c r="A175" s="8">
        <v>3404</v>
      </c>
      <c r="B175" s="8" t="s">
        <v>195</v>
      </c>
      <c r="C175" s="8" t="s">
        <v>8</v>
      </c>
      <c r="D175" s="9">
        <v>45521</v>
      </c>
      <c r="E175" s="8" t="s">
        <v>5</v>
      </c>
      <c r="F175" s="10">
        <v>10</v>
      </c>
      <c r="G175" s="8" t="s">
        <v>1</v>
      </c>
      <c r="H175" s="8" t="s">
        <v>4</v>
      </c>
      <c r="I175" s="10" t="s">
        <v>25</v>
      </c>
      <c r="J175" s="8" t="s">
        <v>5</v>
      </c>
      <c r="K175" s="10">
        <v>20</v>
      </c>
      <c r="L175" s="10">
        <v>15</v>
      </c>
      <c r="M175" s="10">
        <v>15</v>
      </c>
    </row>
    <row r="176" spans="1:13" ht="16.5" customHeight="1" x14ac:dyDescent="0.35">
      <c r="A176" s="8">
        <v>3405</v>
      </c>
      <c r="B176" s="8" t="s">
        <v>196</v>
      </c>
      <c r="C176" s="8" t="s">
        <v>7</v>
      </c>
      <c r="D176" s="9">
        <v>45522</v>
      </c>
      <c r="E176" s="8" t="s">
        <v>4</v>
      </c>
      <c r="F176" s="10">
        <v>5</v>
      </c>
      <c r="G176" s="8" t="s">
        <v>23</v>
      </c>
      <c r="H176" s="8" t="s">
        <v>4</v>
      </c>
      <c r="I176" s="10" t="s">
        <v>25</v>
      </c>
      <c r="J176" s="8" t="s">
        <v>4</v>
      </c>
      <c r="K176" s="10">
        <v>0</v>
      </c>
      <c r="L176" s="10">
        <v>1</v>
      </c>
      <c r="M176" s="10">
        <v>4</v>
      </c>
    </row>
    <row r="177" spans="1:13" ht="16.5" customHeight="1" x14ac:dyDescent="0.35">
      <c r="A177" s="8">
        <v>3406</v>
      </c>
      <c r="B177" s="8" t="s">
        <v>197</v>
      </c>
      <c r="C177" s="8" t="s">
        <v>7</v>
      </c>
      <c r="D177" s="9">
        <v>45523</v>
      </c>
      <c r="E177" s="8" t="s">
        <v>5</v>
      </c>
      <c r="F177" s="10">
        <v>5</v>
      </c>
      <c r="G177" s="8" t="s">
        <v>23</v>
      </c>
      <c r="H177" s="8" t="s">
        <v>4</v>
      </c>
      <c r="I177" s="10" t="s">
        <v>25</v>
      </c>
      <c r="J177" s="8" t="s">
        <v>4</v>
      </c>
      <c r="K177" s="10">
        <v>0</v>
      </c>
      <c r="L177" s="10">
        <v>0</v>
      </c>
      <c r="M177" s="10">
        <v>5</v>
      </c>
    </row>
    <row r="178" spans="1:13" ht="16.5" customHeight="1" x14ac:dyDescent="0.35">
      <c r="A178" s="8">
        <v>3407</v>
      </c>
      <c r="B178" s="8" t="s">
        <v>198</v>
      </c>
      <c r="C178" s="8" t="s">
        <v>9</v>
      </c>
      <c r="D178" s="9">
        <v>45524</v>
      </c>
      <c r="E178" s="8" t="s">
        <v>4</v>
      </c>
      <c r="F178" s="10">
        <v>15</v>
      </c>
      <c r="G178" s="8" t="s">
        <v>27</v>
      </c>
      <c r="H178" s="8" t="s">
        <v>5</v>
      </c>
      <c r="I178" s="10">
        <v>30</v>
      </c>
      <c r="J178" s="8" t="s">
        <v>5</v>
      </c>
      <c r="K178" s="10">
        <v>20</v>
      </c>
      <c r="L178" s="10">
        <v>7</v>
      </c>
      <c r="M178" s="10">
        <v>58</v>
      </c>
    </row>
    <row r="179" spans="1:13" ht="16.5" customHeight="1" x14ac:dyDescent="0.35">
      <c r="A179" s="8">
        <v>3408</v>
      </c>
      <c r="B179" s="8" t="s">
        <v>199</v>
      </c>
      <c r="C179" s="8" t="s">
        <v>8</v>
      </c>
      <c r="D179" s="9">
        <v>45525</v>
      </c>
      <c r="E179" s="8" t="s">
        <v>5</v>
      </c>
      <c r="F179" s="10">
        <v>10</v>
      </c>
      <c r="G179" s="8" t="s">
        <v>1</v>
      </c>
      <c r="H179" s="8" t="s">
        <v>4</v>
      </c>
      <c r="I179" s="10" t="s">
        <v>25</v>
      </c>
      <c r="J179" s="8" t="s">
        <v>5</v>
      </c>
      <c r="K179" s="10">
        <v>20</v>
      </c>
      <c r="L179" s="10">
        <v>10</v>
      </c>
      <c r="M179" s="10">
        <v>20</v>
      </c>
    </row>
    <row r="180" spans="1:13" ht="16.5" customHeight="1" x14ac:dyDescent="0.35">
      <c r="A180" s="8">
        <v>3409</v>
      </c>
      <c r="B180" s="8" t="s">
        <v>200</v>
      </c>
      <c r="C180" s="8" t="s">
        <v>7</v>
      </c>
      <c r="D180" s="9">
        <v>45526</v>
      </c>
      <c r="E180" s="8" t="s">
        <v>4</v>
      </c>
      <c r="F180" s="10">
        <v>5</v>
      </c>
      <c r="G180" s="8" t="s">
        <v>27</v>
      </c>
      <c r="H180" s="8" t="s">
        <v>4</v>
      </c>
      <c r="I180" s="10" t="s">
        <v>25</v>
      </c>
      <c r="J180" s="8" t="s">
        <v>4</v>
      </c>
      <c r="K180" s="10">
        <v>0</v>
      </c>
      <c r="L180" s="10">
        <v>1</v>
      </c>
      <c r="M180" s="10">
        <v>4</v>
      </c>
    </row>
    <row r="181" spans="1:13" ht="16.5" customHeight="1" x14ac:dyDescent="0.35">
      <c r="A181" s="8">
        <v>3410</v>
      </c>
      <c r="B181" s="8" t="s">
        <v>201</v>
      </c>
      <c r="C181" s="8" t="s">
        <v>9</v>
      </c>
      <c r="D181" s="9">
        <v>45527</v>
      </c>
      <c r="E181" s="8" t="s">
        <v>5</v>
      </c>
      <c r="F181" s="10">
        <v>15</v>
      </c>
      <c r="G181" s="8" t="s">
        <v>23</v>
      </c>
      <c r="H181" s="8" t="s">
        <v>5</v>
      </c>
      <c r="I181" s="10">
        <v>30</v>
      </c>
      <c r="J181" s="8" t="s">
        <v>5</v>
      </c>
      <c r="K181" s="10">
        <v>20</v>
      </c>
      <c r="L181" s="10">
        <v>15</v>
      </c>
      <c r="M181" s="10">
        <v>50</v>
      </c>
    </row>
    <row r="182" spans="1:13" ht="16.5" customHeight="1" x14ac:dyDescent="0.35">
      <c r="A182" s="8">
        <v>3411</v>
      </c>
      <c r="B182" s="8" t="s">
        <v>202</v>
      </c>
      <c r="C182" s="8" t="s">
        <v>8</v>
      </c>
      <c r="D182" s="9">
        <v>45528</v>
      </c>
      <c r="E182" s="8" t="s">
        <v>4</v>
      </c>
      <c r="F182" s="10">
        <v>10</v>
      </c>
      <c r="G182" s="8" t="s">
        <v>23</v>
      </c>
      <c r="H182" s="8" t="s">
        <v>4</v>
      </c>
      <c r="I182" s="10" t="s">
        <v>25</v>
      </c>
      <c r="J182" s="8" t="s">
        <v>5</v>
      </c>
      <c r="K182" s="10">
        <v>20</v>
      </c>
      <c r="L182" s="10">
        <v>5</v>
      </c>
      <c r="M182" s="10">
        <v>25</v>
      </c>
    </row>
    <row r="183" spans="1:13" ht="16.5" customHeight="1" x14ac:dyDescent="0.35">
      <c r="A183" s="8">
        <v>3412</v>
      </c>
      <c r="B183" s="8" t="s">
        <v>203</v>
      </c>
      <c r="C183" s="8" t="s">
        <v>7</v>
      </c>
      <c r="D183" s="9">
        <v>45529</v>
      </c>
      <c r="E183" s="8" t="s">
        <v>5</v>
      </c>
      <c r="F183" s="10">
        <v>5</v>
      </c>
      <c r="G183" s="8" t="s">
        <v>1</v>
      </c>
      <c r="H183" s="8" t="s">
        <v>4</v>
      </c>
      <c r="I183" s="10" t="s">
        <v>25</v>
      </c>
      <c r="J183" s="8" t="s">
        <v>4</v>
      </c>
      <c r="K183" s="10">
        <v>0</v>
      </c>
      <c r="L183" s="10">
        <v>0</v>
      </c>
      <c r="M183" s="10">
        <v>5</v>
      </c>
    </row>
    <row r="184" spans="1:13" ht="16.5" customHeight="1" x14ac:dyDescent="0.35">
      <c r="A184" s="8">
        <v>3413</v>
      </c>
      <c r="B184" s="8" t="s">
        <v>204</v>
      </c>
      <c r="C184" s="8" t="s">
        <v>9</v>
      </c>
      <c r="D184" s="9">
        <v>45530</v>
      </c>
      <c r="E184" s="8" t="s">
        <v>4</v>
      </c>
      <c r="F184" s="10">
        <v>15</v>
      </c>
      <c r="G184" s="8" t="s">
        <v>27</v>
      </c>
      <c r="H184" s="8" t="s">
        <v>5</v>
      </c>
      <c r="I184" s="10">
        <v>30</v>
      </c>
      <c r="J184" s="8" t="s">
        <v>5</v>
      </c>
      <c r="K184" s="10">
        <v>20</v>
      </c>
      <c r="L184" s="10">
        <v>20</v>
      </c>
      <c r="M184" s="10">
        <v>45</v>
      </c>
    </row>
    <row r="185" spans="1:13" ht="16.5" customHeight="1" x14ac:dyDescent="0.35">
      <c r="A185" s="8">
        <v>3414</v>
      </c>
      <c r="B185" s="8" t="s">
        <v>205</v>
      </c>
      <c r="C185" s="8" t="s">
        <v>8</v>
      </c>
      <c r="D185" s="9">
        <v>45531</v>
      </c>
      <c r="E185" s="8" t="s">
        <v>5</v>
      </c>
      <c r="F185" s="10">
        <v>10</v>
      </c>
      <c r="G185" s="8" t="s">
        <v>27</v>
      </c>
      <c r="H185" s="8" t="s">
        <v>4</v>
      </c>
      <c r="I185" s="10" t="s">
        <v>25</v>
      </c>
      <c r="J185" s="8" t="s">
        <v>5</v>
      </c>
      <c r="K185" s="10">
        <v>20</v>
      </c>
      <c r="L185" s="10">
        <v>12</v>
      </c>
      <c r="M185" s="10">
        <v>18</v>
      </c>
    </row>
    <row r="186" spans="1:13" ht="16.5" customHeight="1" x14ac:dyDescent="0.35">
      <c r="A186" s="8">
        <v>3415</v>
      </c>
      <c r="B186" s="8" t="s">
        <v>206</v>
      </c>
      <c r="C186" s="8" t="s">
        <v>7</v>
      </c>
      <c r="D186" s="9">
        <v>45532</v>
      </c>
      <c r="E186" s="8" t="s">
        <v>4</v>
      </c>
      <c r="F186" s="10">
        <v>5</v>
      </c>
      <c r="G186" s="8" t="s">
        <v>23</v>
      </c>
      <c r="H186" s="8" t="s">
        <v>4</v>
      </c>
      <c r="I186" s="10" t="s">
        <v>25</v>
      </c>
      <c r="J186" s="8" t="s">
        <v>4</v>
      </c>
      <c r="K186" s="10">
        <v>0</v>
      </c>
      <c r="L186" s="10">
        <v>2</v>
      </c>
      <c r="M186" s="10">
        <v>3</v>
      </c>
    </row>
    <row r="187" spans="1:13" ht="16.5" customHeight="1" x14ac:dyDescent="0.35">
      <c r="A187" s="8">
        <v>3416</v>
      </c>
      <c r="B187" s="8" t="s">
        <v>207</v>
      </c>
      <c r="C187" s="8" t="s">
        <v>9</v>
      </c>
      <c r="D187" s="9">
        <v>45533</v>
      </c>
      <c r="E187" s="8" t="s">
        <v>5</v>
      </c>
      <c r="F187" s="10">
        <v>15</v>
      </c>
      <c r="G187" s="8" t="s">
        <v>1</v>
      </c>
      <c r="H187" s="8" t="s">
        <v>5</v>
      </c>
      <c r="I187" s="10">
        <v>30</v>
      </c>
      <c r="J187" s="8" t="s">
        <v>5</v>
      </c>
      <c r="K187" s="10">
        <v>20</v>
      </c>
      <c r="L187" s="10">
        <v>5</v>
      </c>
      <c r="M187" s="10">
        <v>60</v>
      </c>
    </row>
    <row r="188" spans="1:13" ht="16.5" customHeight="1" x14ac:dyDescent="0.35">
      <c r="A188" s="8">
        <v>3417</v>
      </c>
      <c r="B188" s="8" t="s">
        <v>208</v>
      </c>
      <c r="C188" s="8" t="s">
        <v>8</v>
      </c>
      <c r="D188" s="9">
        <v>45534</v>
      </c>
      <c r="E188" s="8" t="s">
        <v>4</v>
      </c>
      <c r="F188" s="10">
        <v>10</v>
      </c>
      <c r="G188" s="8" t="s">
        <v>23</v>
      </c>
      <c r="H188" s="8" t="s">
        <v>4</v>
      </c>
      <c r="I188" s="10" t="s">
        <v>25</v>
      </c>
      <c r="J188" s="8" t="s">
        <v>5</v>
      </c>
      <c r="K188" s="10">
        <v>20</v>
      </c>
      <c r="L188" s="10">
        <v>10</v>
      </c>
      <c r="M188" s="10">
        <v>20</v>
      </c>
    </row>
    <row r="189" spans="1:13" ht="16.5" customHeight="1" x14ac:dyDescent="0.35">
      <c r="A189" s="8">
        <v>3418</v>
      </c>
      <c r="B189" s="8" t="s">
        <v>209</v>
      </c>
      <c r="C189" s="8" t="s">
        <v>7</v>
      </c>
      <c r="D189" s="9">
        <v>45535</v>
      </c>
      <c r="E189" s="8" t="s">
        <v>5</v>
      </c>
      <c r="F189" s="10">
        <v>5</v>
      </c>
      <c r="G189" s="8" t="s">
        <v>27</v>
      </c>
      <c r="H189" s="8" t="s">
        <v>4</v>
      </c>
      <c r="I189" s="10" t="s">
        <v>25</v>
      </c>
      <c r="J189" s="8" t="s">
        <v>4</v>
      </c>
      <c r="K189" s="10">
        <v>0</v>
      </c>
      <c r="L189" s="10">
        <v>0</v>
      </c>
      <c r="M189" s="10">
        <v>5</v>
      </c>
    </row>
    <row r="190" spans="1:13" ht="16.5" customHeight="1" x14ac:dyDescent="0.35">
      <c r="A190" s="8">
        <v>3419</v>
      </c>
      <c r="B190" s="8" t="s">
        <v>210</v>
      </c>
      <c r="C190" s="8" t="s">
        <v>9</v>
      </c>
      <c r="D190" s="9">
        <v>45536</v>
      </c>
      <c r="E190" s="8" t="s">
        <v>4</v>
      </c>
      <c r="F190" s="10">
        <v>15</v>
      </c>
      <c r="G190" s="8" t="s">
        <v>23</v>
      </c>
      <c r="H190" s="8" t="s">
        <v>5</v>
      </c>
      <c r="I190" s="10">
        <v>30</v>
      </c>
      <c r="J190" s="8" t="s">
        <v>5</v>
      </c>
      <c r="K190" s="10">
        <v>20</v>
      </c>
      <c r="L190" s="10">
        <v>3</v>
      </c>
      <c r="M190" s="10">
        <v>62</v>
      </c>
    </row>
    <row r="191" spans="1:13" ht="16.5" customHeight="1" x14ac:dyDescent="0.35">
      <c r="A191" s="8">
        <v>3420</v>
      </c>
      <c r="B191" s="8" t="s">
        <v>211</v>
      </c>
      <c r="C191" s="8" t="s">
        <v>8</v>
      </c>
      <c r="D191" s="9">
        <v>45537</v>
      </c>
      <c r="E191" s="8" t="s">
        <v>5</v>
      </c>
      <c r="F191" s="10">
        <v>10</v>
      </c>
      <c r="G191" s="8" t="s">
        <v>1</v>
      </c>
      <c r="H191" s="8" t="s">
        <v>4</v>
      </c>
      <c r="I191" s="10" t="s">
        <v>25</v>
      </c>
      <c r="J191" s="8" t="s">
        <v>5</v>
      </c>
      <c r="K191" s="10">
        <v>20</v>
      </c>
      <c r="L191" s="10">
        <v>15</v>
      </c>
      <c r="M191" s="10">
        <v>15</v>
      </c>
    </row>
    <row r="192" spans="1:13" ht="16.5" customHeight="1" x14ac:dyDescent="0.35">
      <c r="A192" s="8">
        <v>3421</v>
      </c>
      <c r="B192" s="8" t="s">
        <v>40</v>
      </c>
      <c r="C192" s="8" t="s">
        <v>7</v>
      </c>
      <c r="D192" s="9">
        <v>45538</v>
      </c>
      <c r="E192" s="8" t="s">
        <v>4</v>
      </c>
      <c r="F192" s="10">
        <v>5</v>
      </c>
      <c r="G192" s="8" t="s">
        <v>23</v>
      </c>
      <c r="H192" s="8" t="s">
        <v>4</v>
      </c>
      <c r="I192" s="10" t="s">
        <v>25</v>
      </c>
      <c r="J192" s="8" t="s">
        <v>4</v>
      </c>
      <c r="K192" s="10">
        <v>0</v>
      </c>
      <c r="L192" s="10">
        <v>1</v>
      </c>
      <c r="M192" s="10">
        <v>4</v>
      </c>
    </row>
    <row r="193" spans="1:13" ht="16.5" customHeight="1" x14ac:dyDescent="0.35">
      <c r="A193" s="8">
        <v>3422</v>
      </c>
      <c r="B193" s="8" t="s">
        <v>212</v>
      </c>
      <c r="C193" s="8" t="s">
        <v>9</v>
      </c>
      <c r="D193" s="9">
        <v>45539</v>
      </c>
      <c r="E193" s="8" t="s">
        <v>5</v>
      </c>
      <c r="F193" s="10">
        <v>15</v>
      </c>
      <c r="G193" s="8" t="s">
        <v>27</v>
      </c>
      <c r="H193" s="8" t="s">
        <v>5</v>
      </c>
      <c r="I193" s="10">
        <v>30</v>
      </c>
      <c r="J193" s="8" t="s">
        <v>5</v>
      </c>
      <c r="K193" s="10">
        <v>20</v>
      </c>
      <c r="L193" s="10">
        <v>7</v>
      </c>
      <c r="M193" s="10">
        <v>58</v>
      </c>
    </row>
    <row r="194" spans="1:13" ht="16.5" customHeight="1" x14ac:dyDescent="0.35">
      <c r="A194" s="8">
        <v>3423</v>
      </c>
      <c r="B194" s="8" t="s">
        <v>213</v>
      </c>
      <c r="C194" s="8" t="s">
        <v>8</v>
      </c>
      <c r="D194" s="9">
        <v>45540</v>
      </c>
      <c r="E194" s="8" t="s">
        <v>4</v>
      </c>
      <c r="F194" s="10">
        <v>10</v>
      </c>
      <c r="G194" s="8" t="s">
        <v>23</v>
      </c>
      <c r="H194" s="8" t="s">
        <v>4</v>
      </c>
      <c r="I194" s="10" t="s">
        <v>25</v>
      </c>
      <c r="J194" s="8" t="s">
        <v>5</v>
      </c>
      <c r="K194" s="10">
        <v>20</v>
      </c>
      <c r="L194" s="10">
        <v>10</v>
      </c>
      <c r="M194" s="10">
        <v>20</v>
      </c>
    </row>
    <row r="195" spans="1:13" ht="16.5" customHeight="1" x14ac:dyDescent="0.35">
      <c r="A195" s="8">
        <v>3424</v>
      </c>
      <c r="B195" s="8" t="s">
        <v>39</v>
      </c>
      <c r="C195" s="8" t="s">
        <v>7</v>
      </c>
      <c r="D195" s="9">
        <v>45541</v>
      </c>
      <c r="E195" s="8" t="s">
        <v>5</v>
      </c>
      <c r="F195" s="10">
        <v>5</v>
      </c>
      <c r="G195" s="8" t="s">
        <v>1</v>
      </c>
      <c r="H195" s="8" t="s">
        <v>4</v>
      </c>
      <c r="I195" s="10" t="s">
        <v>25</v>
      </c>
      <c r="J195" s="8" t="s">
        <v>4</v>
      </c>
      <c r="K195" s="10">
        <v>0</v>
      </c>
      <c r="L195" s="10">
        <v>0</v>
      </c>
      <c r="M195" s="10">
        <v>5</v>
      </c>
    </row>
    <row r="196" spans="1:13" ht="16.5" customHeight="1" x14ac:dyDescent="0.35">
      <c r="A196" s="8">
        <v>3425</v>
      </c>
      <c r="B196" s="8" t="s">
        <v>214</v>
      </c>
      <c r="C196" s="8" t="s">
        <v>9</v>
      </c>
      <c r="D196" s="9">
        <v>45542</v>
      </c>
      <c r="E196" s="8" t="s">
        <v>4</v>
      </c>
      <c r="F196" s="10">
        <v>15</v>
      </c>
      <c r="G196" s="8" t="s">
        <v>23</v>
      </c>
      <c r="H196" s="8" t="s">
        <v>5</v>
      </c>
      <c r="I196" s="10">
        <v>30</v>
      </c>
      <c r="J196" s="8" t="s">
        <v>5</v>
      </c>
      <c r="K196" s="10">
        <v>20</v>
      </c>
      <c r="L196" s="10">
        <v>20</v>
      </c>
      <c r="M196" s="10">
        <v>45</v>
      </c>
    </row>
    <row r="197" spans="1:13" ht="16.5" customHeight="1" x14ac:dyDescent="0.35">
      <c r="A197" s="8">
        <v>3426</v>
      </c>
      <c r="B197" s="8" t="s">
        <v>192</v>
      </c>
      <c r="C197" s="8" t="s">
        <v>8</v>
      </c>
      <c r="D197" s="9">
        <v>45543</v>
      </c>
      <c r="E197" s="8" t="s">
        <v>5</v>
      </c>
      <c r="F197" s="10">
        <v>10</v>
      </c>
      <c r="G197" s="8" t="s">
        <v>27</v>
      </c>
      <c r="H197" s="8" t="s">
        <v>4</v>
      </c>
      <c r="I197" s="10" t="s">
        <v>25</v>
      </c>
      <c r="J197" s="8" t="s">
        <v>5</v>
      </c>
      <c r="K197" s="10">
        <v>20</v>
      </c>
      <c r="L197" s="10">
        <v>15</v>
      </c>
      <c r="M197" s="10">
        <v>15</v>
      </c>
    </row>
    <row r="198" spans="1:13" ht="16.5" customHeight="1" x14ac:dyDescent="0.35">
      <c r="A198" s="8">
        <v>3427</v>
      </c>
      <c r="B198" s="8" t="s">
        <v>215</v>
      </c>
      <c r="C198" s="8" t="s">
        <v>7</v>
      </c>
      <c r="D198" s="9">
        <v>45544</v>
      </c>
      <c r="E198" s="8" t="s">
        <v>4</v>
      </c>
      <c r="F198" s="10">
        <v>5</v>
      </c>
      <c r="G198" s="8" t="s">
        <v>23</v>
      </c>
      <c r="H198" s="8" t="s">
        <v>4</v>
      </c>
      <c r="I198" s="10" t="s">
        <v>25</v>
      </c>
      <c r="J198" s="8" t="s">
        <v>4</v>
      </c>
      <c r="K198" s="10">
        <v>0</v>
      </c>
      <c r="L198" s="10">
        <v>1</v>
      </c>
      <c r="M198" s="10">
        <v>4</v>
      </c>
    </row>
    <row r="199" spans="1:13" ht="16.5" customHeight="1" x14ac:dyDescent="0.35">
      <c r="A199" s="8">
        <v>3428</v>
      </c>
      <c r="B199" s="8" t="s">
        <v>216</v>
      </c>
      <c r="C199" s="8" t="s">
        <v>9</v>
      </c>
      <c r="D199" s="9">
        <v>45545</v>
      </c>
      <c r="E199" s="8" t="s">
        <v>5</v>
      </c>
      <c r="F199" s="10">
        <v>15</v>
      </c>
      <c r="G199" s="8" t="s">
        <v>1</v>
      </c>
      <c r="H199" s="8" t="s">
        <v>5</v>
      </c>
      <c r="I199" s="10">
        <v>30</v>
      </c>
      <c r="J199" s="8" t="s">
        <v>5</v>
      </c>
      <c r="K199" s="10">
        <v>20</v>
      </c>
      <c r="L199" s="10">
        <v>3</v>
      </c>
      <c r="M199" s="10">
        <v>62</v>
      </c>
    </row>
    <row r="200" spans="1:13" ht="16.5" customHeight="1" x14ac:dyDescent="0.35">
      <c r="A200" s="8">
        <v>3429</v>
      </c>
      <c r="B200" s="8" t="s">
        <v>217</v>
      </c>
      <c r="C200" s="8" t="s">
        <v>8</v>
      </c>
      <c r="D200" s="9">
        <v>45546</v>
      </c>
      <c r="E200" s="8" t="s">
        <v>4</v>
      </c>
      <c r="F200" s="10">
        <v>10</v>
      </c>
      <c r="G200" s="8" t="s">
        <v>23</v>
      </c>
      <c r="H200" s="8" t="s">
        <v>4</v>
      </c>
      <c r="I200" s="10" t="s">
        <v>25</v>
      </c>
      <c r="J200" s="8" t="s">
        <v>5</v>
      </c>
      <c r="K200" s="10">
        <v>20</v>
      </c>
      <c r="L200" s="10">
        <v>10</v>
      </c>
      <c r="M200" s="10">
        <v>20</v>
      </c>
    </row>
    <row r="201" spans="1:13" ht="16.5" customHeight="1" x14ac:dyDescent="0.35">
      <c r="A201" s="8">
        <v>3430</v>
      </c>
      <c r="B201" s="8" t="s">
        <v>218</v>
      </c>
      <c r="C201" s="8" t="s">
        <v>7</v>
      </c>
      <c r="D201" s="9">
        <v>45547</v>
      </c>
      <c r="E201" s="8" t="s">
        <v>5</v>
      </c>
      <c r="F201" s="10">
        <v>5</v>
      </c>
      <c r="G201" s="8" t="s">
        <v>27</v>
      </c>
      <c r="H201" s="8" t="s">
        <v>4</v>
      </c>
      <c r="I201" s="10" t="s">
        <v>25</v>
      </c>
      <c r="J201" s="8" t="s">
        <v>4</v>
      </c>
      <c r="K201" s="10">
        <v>0</v>
      </c>
      <c r="L201" s="10">
        <v>0</v>
      </c>
      <c r="M201" s="10">
        <v>5</v>
      </c>
    </row>
    <row r="202" spans="1:13" ht="16.5" customHeight="1" x14ac:dyDescent="0.35">
      <c r="A202" s="8">
        <v>3431</v>
      </c>
      <c r="B202" s="8" t="s">
        <v>219</v>
      </c>
      <c r="C202" s="8" t="s">
        <v>9</v>
      </c>
      <c r="D202" s="9">
        <v>45548</v>
      </c>
      <c r="E202" s="8" t="s">
        <v>4</v>
      </c>
      <c r="F202" s="10">
        <v>15</v>
      </c>
      <c r="G202" s="8" t="s">
        <v>23</v>
      </c>
      <c r="H202" s="8" t="s">
        <v>5</v>
      </c>
      <c r="I202" s="10">
        <v>30</v>
      </c>
      <c r="J202" s="8" t="s">
        <v>5</v>
      </c>
      <c r="K202" s="10">
        <v>20</v>
      </c>
      <c r="L202" s="10">
        <v>15</v>
      </c>
      <c r="M202" s="10">
        <v>50</v>
      </c>
    </row>
    <row r="203" spans="1:13" ht="16.5" customHeight="1" x14ac:dyDescent="0.35">
      <c r="A203" s="8">
        <v>3432</v>
      </c>
      <c r="B203" s="8" t="s">
        <v>220</v>
      </c>
      <c r="C203" s="8" t="s">
        <v>8</v>
      </c>
      <c r="D203" s="9">
        <v>45549</v>
      </c>
      <c r="E203" s="8" t="s">
        <v>5</v>
      </c>
      <c r="F203" s="10">
        <v>10</v>
      </c>
      <c r="G203" s="8" t="s">
        <v>1</v>
      </c>
      <c r="H203" s="8" t="s">
        <v>4</v>
      </c>
      <c r="I203" s="10" t="s">
        <v>25</v>
      </c>
      <c r="J203" s="8" t="s">
        <v>5</v>
      </c>
      <c r="K203" s="10">
        <v>20</v>
      </c>
      <c r="L203" s="10">
        <v>15</v>
      </c>
      <c r="M203" s="10">
        <v>15</v>
      </c>
    </row>
    <row r="204" spans="1:13" ht="16.5" customHeight="1" x14ac:dyDescent="0.35">
      <c r="A204" s="8">
        <v>3433</v>
      </c>
      <c r="B204" s="8" t="s">
        <v>221</v>
      </c>
      <c r="C204" s="8" t="s">
        <v>7</v>
      </c>
      <c r="D204" s="9">
        <v>45550</v>
      </c>
      <c r="E204" s="8" t="s">
        <v>4</v>
      </c>
      <c r="F204" s="10">
        <v>5</v>
      </c>
      <c r="G204" s="8" t="s">
        <v>23</v>
      </c>
      <c r="H204" s="8" t="s">
        <v>4</v>
      </c>
      <c r="I204" s="10" t="s">
        <v>25</v>
      </c>
      <c r="J204" s="8" t="s">
        <v>4</v>
      </c>
      <c r="K204" s="10">
        <v>0</v>
      </c>
      <c r="L204" s="10">
        <v>1</v>
      </c>
      <c r="M204" s="10">
        <v>4</v>
      </c>
    </row>
    <row r="205" spans="1:13" ht="16.5" customHeight="1" x14ac:dyDescent="0.35">
      <c r="A205" s="8">
        <v>3434</v>
      </c>
      <c r="B205" s="8" t="s">
        <v>222</v>
      </c>
      <c r="C205" s="8" t="s">
        <v>9</v>
      </c>
      <c r="D205" s="9">
        <v>45551</v>
      </c>
      <c r="E205" s="8" t="s">
        <v>5</v>
      </c>
      <c r="F205" s="10">
        <v>15</v>
      </c>
      <c r="G205" s="8" t="s">
        <v>27</v>
      </c>
      <c r="H205" s="8" t="s">
        <v>5</v>
      </c>
      <c r="I205" s="10">
        <v>30</v>
      </c>
      <c r="J205" s="8" t="s">
        <v>5</v>
      </c>
      <c r="K205" s="10">
        <v>20</v>
      </c>
      <c r="L205" s="10">
        <v>7</v>
      </c>
      <c r="M205" s="10">
        <v>58</v>
      </c>
    </row>
    <row r="206" spans="1:13" ht="16.5" customHeight="1" x14ac:dyDescent="0.35">
      <c r="A206" s="8">
        <v>3435</v>
      </c>
      <c r="B206" s="8" t="s">
        <v>223</v>
      </c>
      <c r="C206" s="8" t="s">
        <v>8</v>
      </c>
      <c r="D206" s="9">
        <v>45552</v>
      </c>
      <c r="E206" s="8" t="s">
        <v>4</v>
      </c>
      <c r="F206" s="10">
        <v>10</v>
      </c>
      <c r="G206" s="8" t="s">
        <v>23</v>
      </c>
      <c r="H206" s="8" t="s">
        <v>4</v>
      </c>
      <c r="I206" s="10" t="s">
        <v>25</v>
      </c>
      <c r="J206" s="8" t="s">
        <v>5</v>
      </c>
      <c r="K206" s="10">
        <v>20</v>
      </c>
      <c r="L206" s="10">
        <v>10</v>
      </c>
      <c r="M206" s="10">
        <v>20</v>
      </c>
    </row>
    <row r="207" spans="1:13" ht="16.5" customHeight="1" x14ac:dyDescent="0.35">
      <c r="A207" s="8">
        <v>3436</v>
      </c>
      <c r="B207" s="8" t="s">
        <v>224</v>
      </c>
      <c r="C207" s="8" t="s">
        <v>7</v>
      </c>
      <c r="D207" s="9">
        <v>45553</v>
      </c>
      <c r="E207" s="8" t="s">
        <v>5</v>
      </c>
      <c r="F207" s="10">
        <v>5</v>
      </c>
      <c r="G207" s="8" t="s">
        <v>23</v>
      </c>
      <c r="H207" s="8" t="s">
        <v>4</v>
      </c>
      <c r="I207" s="10" t="s">
        <v>25</v>
      </c>
      <c r="J207" s="8" t="s">
        <v>4</v>
      </c>
      <c r="K207" s="10">
        <v>0</v>
      </c>
      <c r="L207" s="10">
        <v>0</v>
      </c>
      <c r="M207" s="10">
        <v>5</v>
      </c>
    </row>
    <row r="208" spans="1:13" ht="16.5" customHeight="1" x14ac:dyDescent="0.35">
      <c r="A208" s="8">
        <v>3437</v>
      </c>
      <c r="B208" s="8" t="s">
        <v>225</v>
      </c>
      <c r="C208" s="8" t="s">
        <v>9</v>
      </c>
      <c r="D208" s="9">
        <v>45554</v>
      </c>
      <c r="E208" s="8" t="s">
        <v>4</v>
      </c>
      <c r="F208" s="10">
        <v>15</v>
      </c>
      <c r="G208" s="8" t="s">
        <v>27</v>
      </c>
      <c r="H208" s="8" t="s">
        <v>5</v>
      </c>
      <c r="I208" s="10">
        <v>30</v>
      </c>
      <c r="J208" s="8" t="s">
        <v>5</v>
      </c>
      <c r="K208" s="10">
        <v>20</v>
      </c>
      <c r="L208" s="10">
        <v>7</v>
      </c>
      <c r="M208" s="10">
        <v>58</v>
      </c>
    </row>
    <row r="209" spans="1:13" ht="16.5" customHeight="1" x14ac:dyDescent="0.35">
      <c r="A209" s="8">
        <v>3438</v>
      </c>
      <c r="B209" s="8" t="s">
        <v>226</v>
      </c>
      <c r="C209" s="8" t="s">
        <v>8</v>
      </c>
      <c r="D209" s="9">
        <v>45555</v>
      </c>
      <c r="E209" s="8" t="s">
        <v>5</v>
      </c>
      <c r="F209" s="10">
        <v>10</v>
      </c>
      <c r="G209" s="8" t="s">
        <v>1</v>
      </c>
      <c r="H209" s="8" t="s">
        <v>4</v>
      </c>
      <c r="I209" s="10" t="s">
        <v>25</v>
      </c>
      <c r="J209" s="8" t="s">
        <v>5</v>
      </c>
      <c r="K209" s="10">
        <v>20</v>
      </c>
      <c r="L209" s="10">
        <v>10</v>
      </c>
      <c r="M209" s="10">
        <v>20</v>
      </c>
    </row>
    <row r="210" spans="1:13" ht="16.5" customHeight="1" x14ac:dyDescent="0.35">
      <c r="A210" s="8">
        <v>3439</v>
      </c>
      <c r="B210" s="8" t="s">
        <v>227</v>
      </c>
      <c r="C210" s="8" t="s">
        <v>7</v>
      </c>
      <c r="D210" s="9">
        <v>45556</v>
      </c>
      <c r="E210" s="8" t="s">
        <v>4</v>
      </c>
      <c r="F210" s="10">
        <v>5</v>
      </c>
      <c r="G210" s="8" t="s">
        <v>27</v>
      </c>
      <c r="H210" s="8" t="s">
        <v>4</v>
      </c>
      <c r="I210" s="10" t="s">
        <v>25</v>
      </c>
      <c r="J210" s="8" t="s">
        <v>4</v>
      </c>
      <c r="K210" s="10">
        <v>0</v>
      </c>
      <c r="L210" s="10">
        <v>1</v>
      </c>
      <c r="M210" s="10">
        <v>4</v>
      </c>
    </row>
    <row r="211" spans="1:13" ht="16.5" customHeight="1" x14ac:dyDescent="0.35">
      <c r="A211" s="8">
        <v>3440</v>
      </c>
      <c r="B211" s="8" t="s">
        <v>228</v>
      </c>
      <c r="C211" s="8" t="s">
        <v>9</v>
      </c>
      <c r="D211" s="9">
        <v>45557</v>
      </c>
      <c r="E211" s="8" t="s">
        <v>5</v>
      </c>
      <c r="F211" s="10">
        <v>15</v>
      </c>
      <c r="G211" s="8" t="s">
        <v>23</v>
      </c>
      <c r="H211" s="8" t="s">
        <v>5</v>
      </c>
      <c r="I211" s="10">
        <v>30</v>
      </c>
      <c r="J211" s="8" t="s">
        <v>5</v>
      </c>
      <c r="K211" s="10">
        <v>20</v>
      </c>
      <c r="L211" s="10">
        <v>15</v>
      </c>
      <c r="M211" s="10">
        <v>50</v>
      </c>
    </row>
    <row r="212" spans="1:13" ht="16.5" customHeight="1" x14ac:dyDescent="0.35">
      <c r="A212" s="8">
        <v>3441</v>
      </c>
      <c r="B212" s="8" t="s">
        <v>229</v>
      </c>
      <c r="C212" s="8" t="s">
        <v>8</v>
      </c>
      <c r="D212" s="9">
        <v>45558</v>
      </c>
      <c r="E212" s="8" t="s">
        <v>4</v>
      </c>
      <c r="F212" s="10">
        <v>10</v>
      </c>
      <c r="G212" s="8" t="s">
        <v>23</v>
      </c>
      <c r="H212" s="8" t="s">
        <v>4</v>
      </c>
      <c r="I212" s="10" t="s">
        <v>25</v>
      </c>
      <c r="J212" s="8" t="s">
        <v>5</v>
      </c>
      <c r="K212" s="10">
        <v>20</v>
      </c>
      <c r="L212" s="10">
        <v>5</v>
      </c>
      <c r="M212" s="10">
        <v>25</v>
      </c>
    </row>
    <row r="213" spans="1:13" ht="16.5" customHeight="1" x14ac:dyDescent="0.35">
      <c r="A213" s="8">
        <v>3442</v>
      </c>
      <c r="B213" s="8" t="s">
        <v>230</v>
      </c>
      <c r="C213" s="8" t="s">
        <v>7</v>
      </c>
      <c r="D213" s="9">
        <v>45559</v>
      </c>
      <c r="E213" s="8" t="s">
        <v>5</v>
      </c>
      <c r="F213" s="10">
        <v>5</v>
      </c>
      <c r="G213" s="8" t="s">
        <v>1</v>
      </c>
      <c r="H213" s="8" t="s">
        <v>4</v>
      </c>
      <c r="I213" s="10" t="s">
        <v>25</v>
      </c>
      <c r="J213" s="8" t="s">
        <v>4</v>
      </c>
      <c r="K213" s="10">
        <v>0</v>
      </c>
      <c r="L213" s="10">
        <v>0</v>
      </c>
      <c r="M213" s="10">
        <v>5</v>
      </c>
    </row>
    <row r="214" spans="1:13" ht="16.5" customHeight="1" x14ac:dyDescent="0.35">
      <c r="A214" s="8">
        <v>3443</v>
      </c>
      <c r="B214" s="8" t="s">
        <v>231</v>
      </c>
      <c r="C214" s="8" t="s">
        <v>9</v>
      </c>
      <c r="D214" s="9">
        <v>45560</v>
      </c>
      <c r="E214" s="8" t="s">
        <v>4</v>
      </c>
      <c r="F214" s="10">
        <v>15</v>
      </c>
      <c r="G214" s="8" t="s">
        <v>27</v>
      </c>
      <c r="H214" s="8" t="s">
        <v>5</v>
      </c>
      <c r="I214" s="10">
        <v>30</v>
      </c>
      <c r="J214" s="8" t="s">
        <v>5</v>
      </c>
      <c r="K214" s="10">
        <v>20</v>
      </c>
      <c r="L214" s="10">
        <v>20</v>
      </c>
      <c r="M214" s="10">
        <v>45</v>
      </c>
    </row>
    <row r="215" spans="1:13" ht="16.5" customHeight="1" x14ac:dyDescent="0.35">
      <c r="A215" s="8">
        <v>3444</v>
      </c>
      <c r="B215" s="8" t="s">
        <v>232</v>
      </c>
      <c r="C215" s="8" t="s">
        <v>8</v>
      </c>
      <c r="D215" s="9">
        <v>45561</v>
      </c>
      <c r="E215" s="8" t="s">
        <v>5</v>
      </c>
      <c r="F215" s="10">
        <v>10</v>
      </c>
      <c r="G215" s="8" t="s">
        <v>27</v>
      </c>
      <c r="H215" s="8" t="s">
        <v>4</v>
      </c>
      <c r="I215" s="10" t="s">
        <v>25</v>
      </c>
      <c r="J215" s="8" t="s">
        <v>5</v>
      </c>
      <c r="K215" s="10">
        <v>20</v>
      </c>
      <c r="L215" s="10">
        <v>12</v>
      </c>
      <c r="M215" s="10">
        <v>18</v>
      </c>
    </row>
    <row r="216" spans="1:13" ht="16.5" customHeight="1" x14ac:dyDescent="0.35">
      <c r="A216" s="8">
        <v>3445</v>
      </c>
      <c r="B216" s="8" t="s">
        <v>62</v>
      </c>
      <c r="C216" s="8" t="s">
        <v>7</v>
      </c>
      <c r="D216" s="9">
        <v>45562</v>
      </c>
      <c r="E216" s="8" t="s">
        <v>4</v>
      </c>
      <c r="F216" s="10">
        <v>5</v>
      </c>
      <c r="G216" s="8" t="s">
        <v>23</v>
      </c>
      <c r="H216" s="8" t="s">
        <v>4</v>
      </c>
      <c r="I216" s="10" t="s">
        <v>25</v>
      </c>
      <c r="J216" s="8" t="s">
        <v>4</v>
      </c>
      <c r="K216" s="10">
        <v>0</v>
      </c>
      <c r="L216" s="10">
        <v>2</v>
      </c>
      <c r="M216" s="10">
        <v>3</v>
      </c>
    </row>
    <row r="217" spans="1:13" ht="16.5" customHeight="1" x14ac:dyDescent="0.35">
      <c r="A217" s="8">
        <v>3446</v>
      </c>
      <c r="B217" s="8" t="s">
        <v>233</v>
      </c>
      <c r="C217" s="8" t="s">
        <v>9</v>
      </c>
      <c r="D217" s="9">
        <v>45563</v>
      </c>
      <c r="E217" s="8" t="s">
        <v>5</v>
      </c>
      <c r="F217" s="10">
        <v>15</v>
      </c>
      <c r="G217" s="8" t="s">
        <v>1</v>
      </c>
      <c r="H217" s="8" t="s">
        <v>5</v>
      </c>
      <c r="I217" s="10">
        <v>30</v>
      </c>
      <c r="J217" s="8" t="s">
        <v>5</v>
      </c>
      <c r="K217" s="10">
        <v>20</v>
      </c>
      <c r="L217" s="10">
        <v>5</v>
      </c>
      <c r="M217" s="10">
        <v>60</v>
      </c>
    </row>
    <row r="218" spans="1:13" ht="16.5" customHeight="1" x14ac:dyDescent="0.35">
      <c r="A218" s="8">
        <v>3447</v>
      </c>
      <c r="B218" s="8" t="s">
        <v>234</v>
      </c>
      <c r="C218" s="8" t="s">
        <v>8</v>
      </c>
      <c r="D218" s="9">
        <v>45564</v>
      </c>
      <c r="E218" s="8" t="s">
        <v>4</v>
      </c>
      <c r="F218" s="10">
        <v>10</v>
      </c>
      <c r="G218" s="8" t="s">
        <v>23</v>
      </c>
      <c r="H218" s="8" t="s">
        <v>4</v>
      </c>
      <c r="I218" s="10" t="s">
        <v>25</v>
      </c>
      <c r="J218" s="8" t="s">
        <v>5</v>
      </c>
      <c r="K218" s="10">
        <v>20</v>
      </c>
      <c r="L218" s="10">
        <v>10</v>
      </c>
      <c r="M218" s="10">
        <v>20</v>
      </c>
    </row>
    <row r="219" spans="1:13" ht="16.5" customHeight="1" x14ac:dyDescent="0.35">
      <c r="A219" s="8">
        <v>3448</v>
      </c>
      <c r="B219" s="8" t="s">
        <v>235</v>
      </c>
      <c r="C219" s="8" t="s">
        <v>7</v>
      </c>
      <c r="D219" s="9">
        <v>45565</v>
      </c>
      <c r="E219" s="8" t="s">
        <v>5</v>
      </c>
      <c r="F219" s="10">
        <v>5</v>
      </c>
      <c r="G219" s="8" t="s">
        <v>27</v>
      </c>
      <c r="H219" s="8" t="s">
        <v>4</v>
      </c>
      <c r="I219" s="10" t="s">
        <v>25</v>
      </c>
      <c r="J219" s="8" t="s">
        <v>4</v>
      </c>
      <c r="K219" s="10">
        <v>0</v>
      </c>
      <c r="L219" s="10">
        <v>0</v>
      </c>
      <c r="M219" s="10">
        <v>5</v>
      </c>
    </row>
    <row r="220" spans="1:13" ht="16.5" customHeight="1" x14ac:dyDescent="0.35">
      <c r="A220" s="8">
        <v>3449</v>
      </c>
      <c r="B220" s="8" t="s">
        <v>236</v>
      </c>
      <c r="C220" s="8" t="s">
        <v>9</v>
      </c>
      <c r="D220" s="9">
        <v>45566</v>
      </c>
      <c r="E220" s="8" t="s">
        <v>4</v>
      </c>
      <c r="F220" s="10">
        <v>15</v>
      </c>
      <c r="G220" s="8" t="s">
        <v>23</v>
      </c>
      <c r="H220" s="8" t="s">
        <v>5</v>
      </c>
      <c r="I220" s="10">
        <v>30</v>
      </c>
      <c r="J220" s="8" t="s">
        <v>5</v>
      </c>
      <c r="K220" s="10">
        <v>20</v>
      </c>
      <c r="L220" s="10">
        <v>3</v>
      </c>
      <c r="M220" s="10">
        <v>62</v>
      </c>
    </row>
    <row r="221" spans="1:13" ht="16.5" customHeight="1" x14ac:dyDescent="0.35">
      <c r="A221" s="8">
        <v>3450</v>
      </c>
      <c r="B221" s="8" t="s">
        <v>237</v>
      </c>
      <c r="C221" s="8" t="s">
        <v>8</v>
      </c>
      <c r="D221" s="9">
        <v>45567</v>
      </c>
      <c r="E221" s="8" t="s">
        <v>5</v>
      </c>
      <c r="F221" s="10">
        <v>10</v>
      </c>
      <c r="G221" s="8" t="s">
        <v>1</v>
      </c>
      <c r="H221" s="8" t="s">
        <v>4</v>
      </c>
      <c r="I221" s="10" t="s">
        <v>25</v>
      </c>
      <c r="J221" s="8" t="s">
        <v>5</v>
      </c>
      <c r="K221" s="10">
        <v>20</v>
      </c>
      <c r="L221" s="10">
        <v>15</v>
      </c>
      <c r="M221" s="10">
        <v>15</v>
      </c>
    </row>
    <row r="222" spans="1:13" ht="16.5" customHeight="1" x14ac:dyDescent="0.35">
      <c r="A222" s="8">
        <v>3451</v>
      </c>
      <c r="B222" s="8" t="s">
        <v>238</v>
      </c>
      <c r="C222" s="8" t="s">
        <v>7</v>
      </c>
      <c r="D222" s="9">
        <v>45568</v>
      </c>
      <c r="E222" s="8" t="s">
        <v>4</v>
      </c>
      <c r="F222" s="10">
        <v>5</v>
      </c>
      <c r="G222" s="8" t="s">
        <v>23</v>
      </c>
      <c r="H222" s="8" t="s">
        <v>4</v>
      </c>
      <c r="I222" s="10" t="s">
        <v>25</v>
      </c>
      <c r="J222" s="8" t="s">
        <v>4</v>
      </c>
      <c r="K222" s="10">
        <v>0</v>
      </c>
      <c r="L222" s="10">
        <v>1</v>
      </c>
      <c r="M222" s="10">
        <v>4</v>
      </c>
    </row>
    <row r="223" spans="1:13" ht="16.5" customHeight="1" x14ac:dyDescent="0.35">
      <c r="A223" s="8">
        <v>3452</v>
      </c>
      <c r="B223" s="8" t="s">
        <v>216</v>
      </c>
      <c r="C223" s="8" t="s">
        <v>9</v>
      </c>
      <c r="D223" s="9">
        <v>45569</v>
      </c>
      <c r="E223" s="8" t="s">
        <v>5</v>
      </c>
      <c r="F223" s="10">
        <v>15</v>
      </c>
      <c r="G223" s="8" t="s">
        <v>27</v>
      </c>
      <c r="H223" s="8" t="s">
        <v>5</v>
      </c>
      <c r="I223" s="10">
        <v>30</v>
      </c>
      <c r="J223" s="8" t="s">
        <v>5</v>
      </c>
      <c r="K223" s="10">
        <v>20</v>
      </c>
      <c r="L223" s="10">
        <v>7</v>
      </c>
      <c r="M223" s="10">
        <v>58</v>
      </c>
    </row>
    <row r="224" spans="1:13" ht="16.5" customHeight="1" x14ac:dyDescent="0.35">
      <c r="A224" s="8">
        <v>3453</v>
      </c>
      <c r="B224" s="8" t="s">
        <v>70</v>
      </c>
      <c r="C224" s="8" t="s">
        <v>8</v>
      </c>
      <c r="D224" s="9">
        <v>45570</v>
      </c>
      <c r="E224" s="8" t="s">
        <v>4</v>
      </c>
      <c r="F224" s="10">
        <v>10</v>
      </c>
      <c r="G224" s="8" t="s">
        <v>23</v>
      </c>
      <c r="H224" s="8" t="s">
        <v>4</v>
      </c>
      <c r="I224" s="10" t="s">
        <v>25</v>
      </c>
      <c r="J224" s="8" t="s">
        <v>5</v>
      </c>
      <c r="K224" s="10">
        <v>20</v>
      </c>
      <c r="L224" s="10">
        <v>10</v>
      </c>
      <c r="M224" s="10">
        <v>20</v>
      </c>
    </row>
    <row r="225" spans="1:13" ht="16.5" customHeight="1" x14ac:dyDescent="0.35">
      <c r="A225" s="8">
        <v>3454</v>
      </c>
      <c r="B225" s="8" t="s">
        <v>239</v>
      </c>
      <c r="C225" s="8" t="s">
        <v>7</v>
      </c>
      <c r="D225" s="9">
        <v>45571</v>
      </c>
      <c r="E225" s="8" t="s">
        <v>5</v>
      </c>
      <c r="F225" s="10">
        <v>5</v>
      </c>
      <c r="G225" s="8" t="s">
        <v>1</v>
      </c>
      <c r="H225" s="8" t="s">
        <v>4</v>
      </c>
      <c r="I225" s="10" t="s">
        <v>25</v>
      </c>
      <c r="J225" s="8" t="s">
        <v>4</v>
      </c>
      <c r="K225" s="10">
        <v>0</v>
      </c>
      <c r="L225" s="10">
        <v>0</v>
      </c>
      <c r="M225" s="10">
        <v>5</v>
      </c>
    </row>
    <row r="226" spans="1:13" ht="16.5" customHeight="1" x14ac:dyDescent="0.35">
      <c r="A226" s="8">
        <v>3455</v>
      </c>
      <c r="B226" s="8" t="s">
        <v>240</v>
      </c>
      <c r="C226" s="8" t="s">
        <v>9</v>
      </c>
      <c r="D226" s="9">
        <v>45572</v>
      </c>
      <c r="E226" s="8" t="s">
        <v>4</v>
      </c>
      <c r="F226" s="10">
        <v>15</v>
      </c>
      <c r="G226" s="8" t="s">
        <v>23</v>
      </c>
      <c r="H226" s="8" t="s">
        <v>5</v>
      </c>
      <c r="I226" s="10">
        <v>30</v>
      </c>
      <c r="J226" s="8" t="s">
        <v>5</v>
      </c>
      <c r="K226" s="10">
        <v>20</v>
      </c>
      <c r="L226" s="10">
        <v>20</v>
      </c>
      <c r="M226" s="10">
        <v>45</v>
      </c>
    </row>
    <row r="227" spans="1:13" ht="16.5" customHeight="1" x14ac:dyDescent="0.35">
      <c r="A227" s="8">
        <v>3456</v>
      </c>
      <c r="B227" s="8" t="s">
        <v>241</v>
      </c>
      <c r="C227" s="8" t="s">
        <v>8</v>
      </c>
      <c r="D227" s="9">
        <v>45573</v>
      </c>
      <c r="E227" s="8" t="s">
        <v>5</v>
      </c>
      <c r="F227" s="10">
        <v>10</v>
      </c>
      <c r="G227" s="8" t="s">
        <v>27</v>
      </c>
      <c r="H227" s="8" t="s">
        <v>4</v>
      </c>
      <c r="I227" s="10" t="s">
        <v>25</v>
      </c>
      <c r="J227" s="8" t="s">
        <v>5</v>
      </c>
      <c r="K227" s="10">
        <v>20</v>
      </c>
      <c r="L227" s="10">
        <v>15</v>
      </c>
      <c r="M227" s="10">
        <v>15</v>
      </c>
    </row>
    <row r="228" spans="1:13" ht="16.5" customHeight="1" x14ac:dyDescent="0.35">
      <c r="A228" s="8">
        <v>3457</v>
      </c>
      <c r="B228" s="8" t="s">
        <v>242</v>
      </c>
      <c r="C228" s="8" t="s">
        <v>7</v>
      </c>
      <c r="D228" s="9">
        <v>45574</v>
      </c>
      <c r="E228" s="8" t="s">
        <v>4</v>
      </c>
      <c r="F228" s="10">
        <v>5</v>
      </c>
      <c r="G228" s="8" t="s">
        <v>23</v>
      </c>
      <c r="H228" s="8" t="s">
        <v>4</v>
      </c>
      <c r="I228" s="10" t="s">
        <v>25</v>
      </c>
      <c r="J228" s="8" t="s">
        <v>4</v>
      </c>
      <c r="K228" s="10">
        <v>0</v>
      </c>
      <c r="L228" s="10">
        <v>1</v>
      </c>
      <c r="M228" s="10">
        <v>4</v>
      </c>
    </row>
    <row r="229" spans="1:13" ht="16.5" customHeight="1" x14ac:dyDescent="0.35">
      <c r="A229" s="8">
        <v>3458</v>
      </c>
      <c r="B229" s="8" t="s">
        <v>243</v>
      </c>
      <c r="C229" s="8" t="s">
        <v>9</v>
      </c>
      <c r="D229" s="9">
        <v>45575</v>
      </c>
      <c r="E229" s="8" t="s">
        <v>5</v>
      </c>
      <c r="F229" s="10">
        <v>15</v>
      </c>
      <c r="G229" s="8" t="s">
        <v>1</v>
      </c>
      <c r="H229" s="8" t="s">
        <v>5</v>
      </c>
      <c r="I229" s="10">
        <v>30</v>
      </c>
      <c r="J229" s="8" t="s">
        <v>5</v>
      </c>
      <c r="K229" s="10">
        <v>20</v>
      </c>
      <c r="L229" s="10">
        <v>3</v>
      </c>
      <c r="M229" s="10">
        <v>62</v>
      </c>
    </row>
    <row r="230" spans="1:13" ht="16.5" customHeight="1" x14ac:dyDescent="0.35">
      <c r="A230" s="8">
        <v>3459</v>
      </c>
      <c r="B230" s="8" t="s">
        <v>244</v>
      </c>
      <c r="C230" s="8" t="s">
        <v>8</v>
      </c>
      <c r="D230" s="9">
        <v>45576</v>
      </c>
      <c r="E230" s="8" t="s">
        <v>4</v>
      </c>
      <c r="F230" s="10">
        <v>10</v>
      </c>
      <c r="G230" s="8" t="s">
        <v>23</v>
      </c>
      <c r="H230" s="8" t="s">
        <v>4</v>
      </c>
      <c r="I230" s="10" t="s">
        <v>25</v>
      </c>
      <c r="J230" s="8" t="s">
        <v>5</v>
      </c>
      <c r="K230" s="10">
        <v>20</v>
      </c>
      <c r="L230" s="10">
        <v>10</v>
      </c>
      <c r="M230" s="10">
        <v>20</v>
      </c>
    </row>
    <row r="231" spans="1:13" ht="16.5" customHeight="1" x14ac:dyDescent="0.35">
      <c r="A231" s="8">
        <v>3460</v>
      </c>
      <c r="B231" s="8" t="s">
        <v>152</v>
      </c>
      <c r="C231" s="8" t="s">
        <v>7</v>
      </c>
      <c r="D231" s="9">
        <v>45577</v>
      </c>
      <c r="E231" s="8" t="s">
        <v>5</v>
      </c>
      <c r="F231" s="10">
        <v>5</v>
      </c>
      <c r="G231" s="8" t="s">
        <v>27</v>
      </c>
      <c r="H231" s="8" t="s">
        <v>4</v>
      </c>
      <c r="I231" s="10" t="s">
        <v>25</v>
      </c>
      <c r="J231" s="8" t="s">
        <v>4</v>
      </c>
      <c r="K231" s="10">
        <v>0</v>
      </c>
      <c r="L231" s="10">
        <v>0</v>
      </c>
      <c r="M231" s="10">
        <v>5</v>
      </c>
    </row>
    <row r="232" spans="1:13" ht="16.5" customHeight="1" x14ac:dyDescent="0.35">
      <c r="A232" s="8">
        <v>3461</v>
      </c>
      <c r="B232" s="8" t="s">
        <v>245</v>
      </c>
      <c r="C232" s="8" t="s">
        <v>9</v>
      </c>
      <c r="D232" s="9">
        <v>45578</v>
      </c>
      <c r="E232" s="8" t="s">
        <v>4</v>
      </c>
      <c r="F232" s="10">
        <v>15</v>
      </c>
      <c r="G232" s="8" t="s">
        <v>23</v>
      </c>
      <c r="H232" s="8" t="s">
        <v>5</v>
      </c>
      <c r="I232" s="10">
        <v>30</v>
      </c>
      <c r="J232" s="8" t="s">
        <v>5</v>
      </c>
      <c r="K232" s="10">
        <v>20</v>
      </c>
      <c r="L232" s="10">
        <v>15</v>
      </c>
      <c r="M232" s="10">
        <v>50</v>
      </c>
    </row>
    <row r="233" spans="1:13" ht="16.5" customHeight="1" x14ac:dyDescent="0.35">
      <c r="A233" s="8">
        <v>3462</v>
      </c>
      <c r="B233" s="8" t="s">
        <v>246</v>
      </c>
      <c r="C233" s="8" t="s">
        <v>8</v>
      </c>
      <c r="D233" s="9">
        <v>45579</v>
      </c>
      <c r="E233" s="8" t="s">
        <v>5</v>
      </c>
      <c r="F233" s="10">
        <v>10</v>
      </c>
      <c r="G233" s="8" t="s">
        <v>1</v>
      </c>
      <c r="H233" s="8" t="s">
        <v>4</v>
      </c>
      <c r="I233" s="10" t="s">
        <v>25</v>
      </c>
      <c r="J233" s="8" t="s">
        <v>5</v>
      </c>
      <c r="K233" s="10">
        <v>20</v>
      </c>
      <c r="L233" s="10">
        <v>15</v>
      </c>
      <c r="M233" s="10">
        <v>15</v>
      </c>
    </row>
    <row r="234" spans="1:13" ht="16.5" customHeight="1" x14ac:dyDescent="0.35">
      <c r="A234" s="8">
        <v>3463</v>
      </c>
      <c r="B234" s="8" t="s">
        <v>247</v>
      </c>
      <c r="C234" s="8" t="s">
        <v>7</v>
      </c>
      <c r="D234" s="9">
        <v>45580</v>
      </c>
      <c r="E234" s="8" t="s">
        <v>4</v>
      </c>
      <c r="F234" s="10">
        <v>5</v>
      </c>
      <c r="G234" s="8" t="s">
        <v>23</v>
      </c>
      <c r="H234" s="8" t="s">
        <v>4</v>
      </c>
      <c r="I234" s="10" t="s">
        <v>25</v>
      </c>
      <c r="J234" s="8" t="s">
        <v>4</v>
      </c>
      <c r="K234" s="10">
        <v>0</v>
      </c>
      <c r="L234" s="10">
        <v>1</v>
      </c>
      <c r="M234" s="10">
        <v>4</v>
      </c>
    </row>
    <row r="235" spans="1:13" ht="16.5" customHeight="1" x14ac:dyDescent="0.35">
      <c r="A235" s="8">
        <v>3464</v>
      </c>
      <c r="B235" s="8" t="s">
        <v>248</v>
      </c>
      <c r="C235" s="8" t="s">
        <v>9</v>
      </c>
      <c r="D235" s="9">
        <v>45581</v>
      </c>
      <c r="E235" s="8" t="s">
        <v>5</v>
      </c>
      <c r="F235" s="10">
        <v>15</v>
      </c>
      <c r="G235" s="8" t="s">
        <v>27</v>
      </c>
      <c r="H235" s="8" t="s">
        <v>5</v>
      </c>
      <c r="I235" s="10">
        <v>30</v>
      </c>
      <c r="J235" s="8" t="s">
        <v>5</v>
      </c>
      <c r="K235" s="10">
        <v>20</v>
      </c>
      <c r="L235" s="10">
        <v>7</v>
      </c>
      <c r="M235" s="10">
        <v>58</v>
      </c>
    </row>
    <row r="236" spans="1:13" ht="16.5" customHeight="1" x14ac:dyDescent="0.35">
      <c r="A236" s="8">
        <v>3465</v>
      </c>
      <c r="B236" s="8" t="s">
        <v>249</v>
      </c>
      <c r="C236" s="8" t="s">
        <v>8</v>
      </c>
      <c r="D236" s="9">
        <v>45582</v>
      </c>
      <c r="E236" s="8" t="s">
        <v>4</v>
      </c>
      <c r="F236" s="10">
        <v>10</v>
      </c>
      <c r="G236" s="8" t="s">
        <v>23</v>
      </c>
      <c r="H236" s="8" t="s">
        <v>4</v>
      </c>
      <c r="I236" s="10" t="s">
        <v>25</v>
      </c>
      <c r="J236" s="8" t="s">
        <v>5</v>
      </c>
      <c r="K236" s="10">
        <v>20</v>
      </c>
      <c r="L236" s="10">
        <v>10</v>
      </c>
      <c r="M236" s="10">
        <v>20</v>
      </c>
    </row>
    <row r="237" spans="1:13" ht="16.5" customHeight="1" x14ac:dyDescent="0.35">
      <c r="A237" s="8">
        <v>3466</v>
      </c>
      <c r="B237" s="8" t="s">
        <v>250</v>
      </c>
      <c r="C237" s="8" t="s">
        <v>7</v>
      </c>
      <c r="D237" s="9">
        <v>45583</v>
      </c>
      <c r="E237" s="8" t="s">
        <v>5</v>
      </c>
      <c r="F237" s="10">
        <v>5</v>
      </c>
      <c r="G237" s="8" t="s">
        <v>1</v>
      </c>
      <c r="H237" s="8" t="s">
        <v>4</v>
      </c>
      <c r="I237" s="10" t="s">
        <v>25</v>
      </c>
      <c r="J237" s="8" t="s">
        <v>4</v>
      </c>
      <c r="K237" s="10">
        <v>0</v>
      </c>
      <c r="L237" s="10">
        <v>0</v>
      </c>
      <c r="M237" s="10">
        <v>5</v>
      </c>
    </row>
    <row r="238" spans="1:13" ht="16.5" customHeight="1" x14ac:dyDescent="0.35">
      <c r="A238" s="8">
        <v>3467</v>
      </c>
      <c r="B238" s="8" t="s">
        <v>251</v>
      </c>
      <c r="C238" s="8" t="s">
        <v>9</v>
      </c>
      <c r="D238" s="9">
        <v>45584</v>
      </c>
      <c r="E238" s="8" t="s">
        <v>4</v>
      </c>
      <c r="F238" s="10">
        <v>15</v>
      </c>
      <c r="G238" s="8" t="s">
        <v>23</v>
      </c>
      <c r="H238" s="8" t="s">
        <v>5</v>
      </c>
      <c r="I238" s="10">
        <v>30</v>
      </c>
      <c r="J238" s="8" t="s">
        <v>5</v>
      </c>
      <c r="K238" s="10">
        <v>20</v>
      </c>
      <c r="L238" s="10">
        <v>15</v>
      </c>
      <c r="M238" s="10">
        <v>50</v>
      </c>
    </row>
    <row r="239" spans="1:13" ht="16.5" customHeight="1" x14ac:dyDescent="0.35">
      <c r="A239" s="8">
        <v>3468</v>
      </c>
      <c r="B239" s="8" t="s">
        <v>252</v>
      </c>
      <c r="C239" s="8" t="s">
        <v>8</v>
      </c>
      <c r="D239" s="9">
        <v>45585</v>
      </c>
      <c r="E239" s="8" t="s">
        <v>5</v>
      </c>
      <c r="F239" s="10">
        <v>10</v>
      </c>
      <c r="G239" s="8" t="s">
        <v>27</v>
      </c>
      <c r="H239" s="8" t="s">
        <v>4</v>
      </c>
      <c r="I239" s="10" t="s">
        <v>25</v>
      </c>
      <c r="J239" s="8" t="s">
        <v>5</v>
      </c>
      <c r="K239" s="10">
        <v>20</v>
      </c>
      <c r="L239" s="10">
        <v>12</v>
      </c>
      <c r="M239" s="10">
        <v>18</v>
      </c>
    </row>
    <row r="240" spans="1:13" ht="16.5" customHeight="1" x14ac:dyDescent="0.35">
      <c r="A240" s="8">
        <v>3469</v>
      </c>
      <c r="B240" s="8" t="s">
        <v>253</v>
      </c>
      <c r="C240" s="8" t="s">
        <v>7</v>
      </c>
      <c r="D240" s="9">
        <v>45586</v>
      </c>
      <c r="E240" s="8" t="s">
        <v>4</v>
      </c>
      <c r="F240" s="10">
        <v>5</v>
      </c>
      <c r="G240" s="8" t="s">
        <v>23</v>
      </c>
      <c r="H240" s="8" t="s">
        <v>4</v>
      </c>
      <c r="I240" s="10" t="s">
        <v>25</v>
      </c>
      <c r="J240" s="8" t="s">
        <v>4</v>
      </c>
      <c r="K240" s="10">
        <v>0</v>
      </c>
      <c r="L240" s="10">
        <v>2</v>
      </c>
      <c r="M240" s="10">
        <v>3</v>
      </c>
    </row>
    <row r="241" spans="1:13" ht="16.5" customHeight="1" x14ac:dyDescent="0.35">
      <c r="A241" s="8">
        <v>3470</v>
      </c>
      <c r="B241" s="8" t="s">
        <v>254</v>
      </c>
      <c r="C241" s="8" t="s">
        <v>9</v>
      </c>
      <c r="D241" s="9">
        <v>45587</v>
      </c>
      <c r="E241" s="8" t="s">
        <v>5</v>
      </c>
      <c r="F241" s="10">
        <v>15</v>
      </c>
      <c r="G241" s="8" t="s">
        <v>1</v>
      </c>
      <c r="H241" s="8" t="s">
        <v>5</v>
      </c>
      <c r="I241" s="10">
        <v>30</v>
      </c>
      <c r="J241" s="8" t="s">
        <v>5</v>
      </c>
      <c r="K241" s="10">
        <v>20</v>
      </c>
      <c r="L241" s="10">
        <v>5</v>
      </c>
      <c r="M241" s="10">
        <v>60</v>
      </c>
    </row>
    <row r="242" spans="1:13" ht="16.5" customHeight="1" x14ac:dyDescent="0.35">
      <c r="A242" s="8">
        <v>3471</v>
      </c>
      <c r="B242" s="8" t="s">
        <v>255</v>
      </c>
      <c r="C242" s="8" t="s">
        <v>8</v>
      </c>
      <c r="D242" s="9">
        <v>45588</v>
      </c>
      <c r="E242" s="8" t="s">
        <v>4</v>
      </c>
      <c r="F242" s="10">
        <v>10</v>
      </c>
      <c r="G242" s="8" t="s">
        <v>23</v>
      </c>
      <c r="H242" s="8" t="s">
        <v>4</v>
      </c>
      <c r="I242" s="10" t="s">
        <v>25</v>
      </c>
      <c r="J242" s="8" t="s">
        <v>5</v>
      </c>
      <c r="K242" s="10">
        <v>20</v>
      </c>
      <c r="L242" s="10">
        <v>10</v>
      </c>
      <c r="M242" s="10">
        <v>20</v>
      </c>
    </row>
    <row r="243" spans="1:13" ht="16.5" customHeight="1" x14ac:dyDescent="0.35">
      <c r="A243" s="8">
        <v>3472</v>
      </c>
      <c r="B243" s="8" t="s">
        <v>256</v>
      </c>
      <c r="C243" s="8" t="s">
        <v>7</v>
      </c>
      <c r="D243" s="9">
        <v>45589</v>
      </c>
      <c r="E243" s="8" t="s">
        <v>5</v>
      </c>
      <c r="F243" s="10">
        <v>5</v>
      </c>
      <c r="G243" s="8" t="s">
        <v>27</v>
      </c>
      <c r="H243" s="8" t="s">
        <v>4</v>
      </c>
      <c r="I243" s="10" t="s">
        <v>25</v>
      </c>
      <c r="J243" s="8" t="s">
        <v>4</v>
      </c>
      <c r="K243" s="10">
        <v>0</v>
      </c>
      <c r="L243" s="10">
        <v>0</v>
      </c>
      <c r="M243" s="10">
        <v>5</v>
      </c>
    </row>
    <row r="244" spans="1:13" ht="16.5" customHeight="1" x14ac:dyDescent="0.35">
      <c r="A244" s="8">
        <v>3473</v>
      </c>
      <c r="B244" s="8" t="s">
        <v>165</v>
      </c>
      <c r="C244" s="8" t="s">
        <v>9</v>
      </c>
      <c r="D244" s="9">
        <v>45590</v>
      </c>
      <c r="E244" s="8" t="s">
        <v>4</v>
      </c>
      <c r="F244" s="10">
        <v>15</v>
      </c>
      <c r="G244" s="8" t="s">
        <v>23</v>
      </c>
      <c r="H244" s="8" t="s">
        <v>5</v>
      </c>
      <c r="I244" s="10">
        <v>30</v>
      </c>
      <c r="J244" s="8" t="s">
        <v>5</v>
      </c>
      <c r="K244" s="10">
        <v>20</v>
      </c>
      <c r="L244" s="10">
        <v>3</v>
      </c>
      <c r="M244" s="10">
        <v>62</v>
      </c>
    </row>
    <row r="245" spans="1:13" ht="16.5" customHeight="1" x14ac:dyDescent="0.35">
      <c r="A245" s="8">
        <v>3474</v>
      </c>
      <c r="B245" s="8" t="s">
        <v>257</v>
      </c>
      <c r="C245" s="8" t="s">
        <v>8</v>
      </c>
      <c r="D245" s="9">
        <v>45591</v>
      </c>
      <c r="E245" s="8" t="s">
        <v>5</v>
      </c>
      <c r="F245" s="10">
        <v>10</v>
      </c>
      <c r="G245" s="8" t="s">
        <v>1</v>
      </c>
      <c r="H245" s="8" t="s">
        <v>4</v>
      </c>
      <c r="I245" s="10" t="s">
        <v>25</v>
      </c>
      <c r="J245" s="8" t="s">
        <v>5</v>
      </c>
      <c r="K245" s="10">
        <v>20</v>
      </c>
      <c r="L245" s="10">
        <v>15</v>
      </c>
      <c r="M245" s="10">
        <v>15</v>
      </c>
    </row>
    <row r="246" spans="1:13" ht="16.5" customHeight="1" x14ac:dyDescent="0.35">
      <c r="A246" s="8">
        <v>3475</v>
      </c>
      <c r="B246" s="8" t="s">
        <v>258</v>
      </c>
      <c r="C246" s="8" t="s">
        <v>7</v>
      </c>
      <c r="D246" s="9">
        <v>45592</v>
      </c>
      <c r="E246" s="8" t="s">
        <v>4</v>
      </c>
      <c r="F246" s="10">
        <v>5</v>
      </c>
      <c r="G246" s="8" t="s">
        <v>23</v>
      </c>
      <c r="H246" s="8" t="s">
        <v>4</v>
      </c>
      <c r="I246" s="10" t="s">
        <v>25</v>
      </c>
      <c r="J246" s="8" t="s">
        <v>4</v>
      </c>
      <c r="K246" s="10">
        <v>0</v>
      </c>
      <c r="L246" s="10">
        <v>1</v>
      </c>
      <c r="M246" s="10">
        <v>4</v>
      </c>
    </row>
    <row r="247" spans="1:13" ht="16.5" customHeight="1" x14ac:dyDescent="0.35">
      <c r="A247" s="8">
        <v>3476</v>
      </c>
      <c r="B247" s="8" t="s">
        <v>259</v>
      </c>
      <c r="C247" s="8" t="s">
        <v>9</v>
      </c>
      <c r="D247" s="9">
        <v>45593</v>
      </c>
      <c r="E247" s="8" t="s">
        <v>5</v>
      </c>
      <c r="F247" s="10">
        <v>15</v>
      </c>
      <c r="G247" s="8" t="s">
        <v>27</v>
      </c>
      <c r="H247" s="8" t="s">
        <v>5</v>
      </c>
      <c r="I247" s="10">
        <v>30</v>
      </c>
      <c r="J247" s="8" t="s">
        <v>5</v>
      </c>
      <c r="K247" s="10">
        <v>20</v>
      </c>
      <c r="L247" s="10">
        <v>7</v>
      </c>
      <c r="M247" s="10">
        <v>58</v>
      </c>
    </row>
    <row r="248" spans="1:13" ht="16.5" customHeight="1" x14ac:dyDescent="0.35">
      <c r="A248" s="8">
        <v>3477</v>
      </c>
      <c r="B248" s="8" t="s">
        <v>260</v>
      </c>
      <c r="C248" s="8" t="s">
        <v>8</v>
      </c>
      <c r="D248" s="9">
        <v>45594</v>
      </c>
      <c r="E248" s="8" t="s">
        <v>4</v>
      </c>
      <c r="F248" s="10">
        <v>10</v>
      </c>
      <c r="G248" s="8" t="s">
        <v>23</v>
      </c>
      <c r="H248" s="8" t="s">
        <v>4</v>
      </c>
      <c r="I248" s="10" t="s">
        <v>25</v>
      </c>
      <c r="J248" s="8" t="s">
        <v>5</v>
      </c>
      <c r="K248" s="10">
        <v>20</v>
      </c>
      <c r="L248" s="10">
        <v>10</v>
      </c>
      <c r="M248" s="10">
        <v>20</v>
      </c>
    </row>
    <row r="249" spans="1:13" ht="16.5" customHeight="1" x14ac:dyDescent="0.35">
      <c r="A249" s="8">
        <v>3478</v>
      </c>
      <c r="B249" s="8" t="s">
        <v>261</v>
      </c>
      <c r="C249" s="8" t="s">
        <v>7</v>
      </c>
      <c r="D249" s="9">
        <v>45595</v>
      </c>
      <c r="E249" s="8" t="s">
        <v>5</v>
      </c>
      <c r="F249" s="10">
        <v>5</v>
      </c>
      <c r="G249" s="8" t="s">
        <v>1</v>
      </c>
      <c r="H249" s="8" t="s">
        <v>4</v>
      </c>
      <c r="I249" s="10" t="s">
        <v>25</v>
      </c>
      <c r="J249" s="8" t="s">
        <v>4</v>
      </c>
      <c r="K249" s="10">
        <v>0</v>
      </c>
      <c r="L249" s="10">
        <v>0</v>
      </c>
      <c r="M249" s="10">
        <v>5</v>
      </c>
    </row>
    <row r="250" spans="1:13" ht="16.5" customHeight="1" x14ac:dyDescent="0.35">
      <c r="A250" s="8">
        <v>3479</v>
      </c>
      <c r="B250" s="8" t="s">
        <v>262</v>
      </c>
      <c r="C250" s="8" t="s">
        <v>9</v>
      </c>
      <c r="D250" s="9">
        <v>45596</v>
      </c>
      <c r="E250" s="8" t="s">
        <v>4</v>
      </c>
      <c r="F250" s="10">
        <v>15</v>
      </c>
      <c r="G250" s="8" t="s">
        <v>23</v>
      </c>
      <c r="H250" s="8" t="s">
        <v>5</v>
      </c>
      <c r="I250" s="10">
        <v>30</v>
      </c>
      <c r="J250" s="8" t="s">
        <v>5</v>
      </c>
      <c r="K250" s="10">
        <v>20</v>
      </c>
      <c r="L250" s="10">
        <v>20</v>
      </c>
      <c r="M250" s="10">
        <v>45</v>
      </c>
    </row>
    <row r="251" spans="1:13" ht="16.5" customHeight="1" x14ac:dyDescent="0.35">
      <c r="A251" s="8">
        <v>3480</v>
      </c>
      <c r="B251" s="8" t="s">
        <v>263</v>
      </c>
      <c r="C251" s="8" t="s">
        <v>8</v>
      </c>
      <c r="D251" s="9">
        <v>45597</v>
      </c>
      <c r="E251" s="8" t="s">
        <v>5</v>
      </c>
      <c r="F251" s="10">
        <v>10</v>
      </c>
      <c r="G251" s="8" t="s">
        <v>27</v>
      </c>
      <c r="H251" s="8" t="s">
        <v>4</v>
      </c>
      <c r="I251" s="10" t="s">
        <v>25</v>
      </c>
      <c r="J251" s="8" t="s">
        <v>5</v>
      </c>
      <c r="K251" s="10">
        <v>20</v>
      </c>
      <c r="L251" s="10">
        <v>15</v>
      </c>
      <c r="M251" s="10">
        <v>15</v>
      </c>
    </row>
    <row r="252" spans="1:13" ht="16.5" customHeight="1" x14ac:dyDescent="0.35">
      <c r="A252" s="8">
        <v>3481</v>
      </c>
      <c r="B252" s="8" t="s">
        <v>264</v>
      </c>
      <c r="C252" s="8" t="s">
        <v>7</v>
      </c>
      <c r="D252" s="9">
        <v>45598</v>
      </c>
      <c r="E252" s="8" t="s">
        <v>4</v>
      </c>
      <c r="F252" s="10">
        <v>5</v>
      </c>
      <c r="G252" s="8" t="s">
        <v>23</v>
      </c>
      <c r="H252" s="8" t="s">
        <v>4</v>
      </c>
      <c r="I252" s="10" t="s">
        <v>25</v>
      </c>
      <c r="J252" s="8" t="s">
        <v>4</v>
      </c>
      <c r="K252" s="10">
        <v>0</v>
      </c>
      <c r="L252" s="10">
        <v>1</v>
      </c>
      <c r="M252" s="10">
        <v>4</v>
      </c>
    </row>
    <row r="253" spans="1:13" ht="16.5" customHeight="1" x14ac:dyDescent="0.35">
      <c r="A253" s="8">
        <v>3482</v>
      </c>
      <c r="B253" s="8" t="s">
        <v>265</v>
      </c>
      <c r="C253" s="8" t="s">
        <v>9</v>
      </c>
      <c r="D253" s="9">
        <v>45599</v>
      </c>
      <c r="E253" s="8" t="s">
        <v>5</v>
      </c>
      <c r="F253" s="10">
        <v>15</v>
      </c>
      <c r="G253" s="8" t="s">
        <v>1</v>
      </c>
      <c r="H253" s="8" t="s">
        <v>5</v>
      </c>
      <c r="I253" s="10">
        <v>30</v>
      </c>
      <c r="J253" s="8" t="s">
        <v>5</v>
      </c>
      <c r="K253" s="10">
        <v>20</v>
      </c>
      <c r="L253" s="10">
        <v>3</v>
      </c>
      <c r="M253" s="10">
        <v>62</v>
      </c>
    </row>
    <row r="254" spans="1:13" ht="16.5" customHeight="1" x14ac:dyDescent="0.35">
      <c r="A254" s="8">
        <v>3483</v>
      </c>
      <c r="B254" s="8" t="s">
        <v>266</v>
      </c>
      <c r="C254" s="8" t="s">
        <v>8</v>
      </c>
      <c r="D254" s="9">
        <v>45600</v>
      </c>
      <c r="E254" s="8" t="s">
        <v>4</v>
      </c>
      <c r="F254" s="10">
        <v>10</v>
      </c>
      <c r="G254" s="8" t="s">
        <v>23</v>
      </c>
      <c r="H254" s="8" t="s">
        <v>4</v>
      </c>
      <c r="I254" s="10" t="s">
        <v>25</v>
      </c>
      <c r="J254" s="8" t="s">
        <v>5</v>
      </c>
      <c r="K254" s="10">
        <v>20</v>
      </c>
      <c r="L254" s="10">
        <v>10</v>
      </c>
      <c r="M254" s="10">
        <v>20</v>
      </c>
    </row>
    <row r="255" spans="1:13" ht="16.5" customHeight="1" x14ac:dyDescent="0.35">
      <c r="A255" s="8">
        <v>3484</v>
      </c>
      <c r="B255" s="8" t="s">
        <v>267</v>
      </c>
      <c r="C255" s="8" t="s">
        <v>7</v>
      </c>
      <c r="D255" s="9">
        <v>45601</v>
      </c>
      <c r="E255" s="8" t="s">
        <v>5</v>
      </c>
      <c r="F255" s="10">
        <v>5</v>
      </c>
      <c r="G255" s="8" t="s">
        <v>27</v>
      </c>
      <c r="H255" s="8" t="s">
        <v>4</v>
      </c>
      <c r="I255" s="10" t="s">
        <v>25</v>
      </c>
      <c r="J255" s="8" t="s">
        <v>4</v>
      </c>
      <c r="K255" s="10">
        <v>0</v>
      </c>
      <c r="L255" s="10">
        <v>0</v>
      </c>
      <c r="M255" s="10">
        <v>5</v>
      </c>
    </row>
    <row r="256" spans="1:13" ht="16.5" customHeight="1" x14ac:dyDescent="0.35">
      <c r="A256" s="8">
        <v>3485</v>
      </c>
      <c r="B256" s="8" t="s">
        <v>268</v>
      </c>
      <c r="C256" s="8" t="s">
        <v>9</v>
      </c>
      <c r="D256" s="9">
        <v>45602</v>
      </c>
      <c r="E256" s="8" t="s">
        <v>4</v>
      </c>
      <c r="F256" s="10">
        <v>15</v>
      </c>
      <c r="G256" s="8" t="s">
        <v>23</v>
      </c>
      <c r="H256" s="8" t="s">
        <v>5</v>
      </c>
      <c r="I256" s="10">
        <v>30</v>
      </c>
      <c r="J256" s="8" t="s">
        <v>5</v>
      </c>
      <c r="K256" s="10">
        <v>20</v>
      </c>
      <c r="L256" s="10">
        <v>15</v>
      </c>
      <c r="M256" s="10">
        <v>50</v>
      </c>
    </row>
    <row r="257" spans="1:13" ht="16.5" customHeight="1" x14ac:dyDescent="0.35">
      <c r="A257" s="8">
        <v>3486</v>
      </c>
      <c r="B257" s="8" t="s">
        <v>269</v>
      </c>
      <c r="C257" s="8" t="s">
        <v>7</v>
      </c>
      <c r="D257" s="9">
        <v>45603</v>
      </c>
      <c r="E257" s="8" t="s">
        <v>5</v>
      </c>
      <c r="F257" s="10">
        <v>5</v>
      </c>
      <c r="G257" s="8" t="s">
        <v>23</v>
      </c>
      <c r="H257" s="8" t="s">
        <v>4</v>
      </c>
      <c r="I257" s="10" t="s">
        <v>25</v>
      </c>
      <c r="J257" s="8" t="s">
        <v>4</v>
      </c>
      <c r="K257" s="10">
        <v>0</v>
      </c>
      <c r="L257" s="10">
        <v>0</v>
      </c>
      <c r="M257" s="10">
        <v>5</v>
      </c>
    </row>
    <row r="258" spans="1:13" ht="16.5" customHeight="1" x14ac:dyDescent="0.35">
      <c r="A258" s="8">
        <v>3487</v>
      </c>
      <c r="B258" s="8" t="s">
        <v>270</v>
      </c>
      <c r="C258" s="8" t="s">
        <v>9</v>
      </c>
      <c r="D258" s="9">
        <v>45604</v>
      </c>
      <c r="E258" s="8" t="s">
        <v>4</v>
      </c>
      <c r="F258" s="10">
        <v>15</v>
      </c>
      <c r="G258" s="8" t="s">
        <v>27</v>
      </c>
      <c r="H258" s="8" t="s">
        <v>5</v>
      </c>
      <c r="I258" s="10">
        <v>30</v>
      </c>
      <c r="J258" s="8" t="s">
        <v>5</v>
      </c>
      <c r="K258" s="10">
        <v>20</v>
      </c>
      <c r="L258" s="10">
        <v>7</v>
      </c>
      <c r="M258" s="10">
        <v>58</v>
      </c>
    </row>
    <row r="259" spans="1:13" ht="16.5" customHeight="1" x14ac:dyDescent="0.35">
      <c r="A259" s="8">
        <v>3488</v>
      </c>
      <c r="B259" s="8" t="s">
        <v>271</v>
      </c>
      <c r="C259" s="8" t="s">
        <v>8</v>
      </c>
      <c r="D259" s="9">
        <v>45605</v>
      </c>
      <c r="E259" s="8" t="s">
        <v>5</v>
      </c>
      <c r="F259" s="10">
        <v>10</v>
      </c>
      <c r="G259" s="8" t="s">
        <v>1</v>
      </c>
      <c r="H259" s="8" t="s">
        <v>4</v>
      </c>
      <c r="I259" s="10" t="s">
        <v>25</v>
      </c>
      <c r="J259" s="8" t="s">
        <v>5</v>
      </c>
      <c r="K259" s="10">
        <v>20</v>
      </c>
      <c r="L259" s="10">
        <v>10</v>
      </c>
      <c r="M259" s="10">
        <v>20</v>
      </c>
    </row>
    <row r="260" spans="1:13" ht="16.5" customHeight="1" x14ac:dyDescent="0.35">
      <c r="A260" s="8">
        <v>3489</v>
      </c>
      <c r="B260" s="8" t="s">
        <v>272</v>
      </c>
      <c r="C260" s="8" t="s">
        <v>7</v>
      </c>
      <c r="D260" s="9">
        <v>45606</v>
      </c>
      <c r="E260" s="8" t="s">
        <v>4</v>
      </c>
      <c r="F260" s="10">
        <v>5</v>
      </c>
      <c r="G260" s="8" t="s">
        <v>27</v>
      </c>
      <c r="H260" s="8" t="s">
        <v>4</v>
      </c>
      <c r="I260" s="10" t="s">
        <v>25</v>
      </c>
      <c r="J260" s="8" t="s">
        <v>4</v>
      </c>
      <c r="K260" s="10">
        <v>0</v>
      </c>
      <c r="L260" s="10">
        <v>1</v>
      </c>
      <c r="M260" s="10">
        <v>4</v>
      </c>
    </row>
    <row r="261" spans="1:13" ht="16.5" customHeight="1" x14ac:dyDescent="0.35">
      <c r="A261" s="8">
        <v>3490</v>
      </c>
      <c r="B261" s="8" t="s">
        <v>273</v>
      </c>
      <c r="C261" s="8" t="s">
        <v>9</v>
      </c>
      <c r="D261" s="9">
        <v>45607</v>
      </c>
      <c r="E261" s="8" t="s">
        <v>5</v>
      </c>
      <c r="F261" s="10">
        <v>15</v>
      </c>
      <c r="G261" s="8" t="s">
        <v>23</v>
      </c>
      <c r="H261" s="8" t="s">
        <v>5</v>
      </c>
      <c r="I261" s="10">
        <v>30</v>
      </c>
      <c r="J261" s="8" t="s">
        <v>5</v>
      </c>
      <c r="K261" s="10">
        <v>20</v>
      </c>
      <c r="L261" s="10">
        <v>15</v>
      </c>
      <c r="M261" s="10">
        <v>50</v>
      </c>
    </row>
    <row r="262" spans="1:13" ht="16.5" customHeight="1" x14ac:dyDescent="0.35">
      <c r="A262" s="8">
        <v>3491</v>
      </c>
      <c r="B262" s="8" t="s">
        <v>274</v>
      </c>
      <c r="C262" s="8" t="s">
        <v>8</v>
      </c>
      <c r="D262" s="9">
        <v>45608</v>
      </c>
      <c r="E262" s="8" t="s">
        <v>4</v>
      </c>
      <c r="F262" s="10">
        <v>10</v>
      </c>
      <c r="G262" s="8" t="s">
        <v>23</v>
      </c>
      <c r="H262" s="8" t="s">
        <v>4</v>
      </c>
      <c r="I262" s="10" t="s">
        <v>25</v>
      </c>
      <c r="J262" s="8" t="s">
        <v>5</v>
      </c>
      <c r="K262" s="10">
        <v>20</v>
      </c>
      <c r="L262" s="10">
        <v>5</v>
      </c>
      <c r="M262" s="10">
        <v>25</v>
      </c>
    </row>
    <row r="263" spans="1:13" ht="16.5" customHeight="1" x14ac:dyDescent="0.35">
      <c r="A263" s="8">
        <v>3492</v>
      </c>
      <c r="B263" s="8" t="s">
        <v>275</v>
      </c>
      <c r="C263" s="8" t="s">
        <v>7</v>
      </c>
      <c r="D263" s="9">
        <v>45609</v>
      </c>
      <c r="E263" s="8" t="s">
        <v>5</v>
      </c>
      <c r="F263" s="10">
        <v>5</v>
      </c>
      <c r="G263" s="8" t="s">
        <v>1</v>
      </c>
      <c r="H263" s="8" t="s">
        <v>4</v>
      </c>
      <c r="I263" s="10" t="s">
        <v>25</v>
      </c>
      <c r="J263" s="8" t="s">
        <v>4</v>
      </c>
      <c r="K263" s="10">
        <v>0</v>
      </c>
      <c r="L263" s="10">
        <v>0</v>
      </c>
      <c r="M263" s="10">
        <v>5</v>
      </c>
    </row>
    <row r="264" spans="1:13" ht="16.5" customHeight="1" x14ac:dyDescent="0.35">
      <c r="A264" s="8">
        <v>3493</v>
      </c>
      <c r="B264" s="8" t="s">
        <v>276</v>
      </c>
      <c r="C264" s="8" t="s">
        <v>9</v>
      </c>
      <c r="D264" s="9">
        <v>45610</v>
      </c>
      <c r="E264" s="8" t="s">
        <v>4</v>
      </c>
      <c r="F264" s="10">
        <v>15</v>
      </c>
      <c r="G264" s="8" t="s">
        <v>27</v>
      </c>
      <c r="H264" s="8" t="s">
        <v>5</v>
      </c>
      <c r="I264" s="10">
        <v>30</v>
      </c>
      <c r="J264" s="8" t="s">
        <v>5</v>
      </c>
      <c r="K264" s="10">
        <v>20</v>
      </c>
      <c r="L264" s="10">
        <v>20</v>
      </c>
      <c r="M264" s="10">
        <v>45</v>
      </c>
    </row>
    <row r="265" spans="1:13" ht="16.5" customHeight="1" x14ac:dyDescent="0.35">
      <c r="A265" s="8">
        <v>3494</v>
      </c>
      <c r="B265" s="8" t="s">
        <v>277</v>
      </c>
      <c r="C265" s="8" t="s">
        <v>8</v>
      </c>
      <c r="D265" s="9">
        <v>45611</v>
      </c>
      <c r="E265" s="8" t="s">
        <v>5</v>
      </c>
      <c r="F265" s="10">
        <v>10</v>
      </c>
      <c r="G265" s="8" t="s">
        <v>27</v>
      </c>
      <c r="H265" s="8" t="s">
        <v>4</v>
      </c>
      <c r="I265" s="10" t="s">
        <v>25</v>
      </c>
      <c r="J265" s="8" t="s">
        <v>5</v>
      </c>
      <c r="K265" s="10">
        <v>20</v>
      </c>
      <c r="L265" s="10">
        <v>12</v>
      </c>
      <c r="M265" s="10">
        <v>18</v>
      </c>
    </row>
    <row r="266" spans="1:13" ht="16.5" customHeight="1" x14ac:dyDescent="0.35">
      <c r="A266" s="8">
        <v>3495</v>
      </c>
      <c r="B266" s="8" t="s">
        <v>278</v>
      </c>
      <c r="C266" s="8" t="s">
        <v>7</v>
      </c>
      <c r="D266" s="9">
        <v>45612</v>
      </c>
      <c r="E266" s="8" t="s">
        <v>4</v>
      </c>
      <c r="F266" s="10">
        <v>5</v>
      </c>
      <c r="G266" s="8" t="s">
        <v>23</v>
      </c>
      <c r="H266" s="8" t="s">
        <v>4</v>
      </c>
      <c r="I266" s="10" t="s">
        <v>25</v>
      </c>
      <c r="J266" s="8" t="s">
        <v>4</v>
      </c>
      <c r="K266" s="10">
        <v>0</v>
      </c>
      <c r="L266" s="10">
        <v>2</v>
      </c>
      <c r="M266" s="10">
        <v>3</v>
      </c>
    </row>
    <row r="267" spans="1:13" ht="16.5" customHeight="1" x14ac:dyDescent="0.35">
      <c r="A267" s="8">
        <v>3496</v>
      </c>
      <c r="B267" s="8" t="s">
        <v>279</v>
      </c>
      <c r="C267" s="8" t="s">
        <v>9</v>
      </c>
      <c r="D267" s="9">
        <v>45613</v>
      </c>
      <c r="E267" s="8" t="s">
        <v>5</v>
      </c>
      <c r="F267" s="10">
        <v>15</v>
      </c>
      <c r="G267" s="8" t="s">
        <v>1</v>
      </c>
      <c r="H267" s="8" t="s">
        <v>5</v>
      </c>
      <c r="I267" s="10">
        <v>30</v>
      </c>
      <c r="J267" s="8" t="s">
        <v>5</v>
      </c>
      <c r="K267" s="10">
        <v>20</v>
      </c>
      <c r="L267" s="10">
        <v>5</v>
      </c>
      <c r="M267" s="10">
        <v>60</v>
      </c>
    </row>
    <row r="268" spans="1:13" ht="16.5" customHeight="1" x14ac:dyDescent="0.35">
      <c r="A268" s="8">
        <v>3497</v>
      </c>
      <c r="B268" s="8" t="s">
        <v>280</v>
      </c>
      <c r="C268" s="8" t="s">
        <v>8</v>
      </c>
      <c r="D268" s="9">
        <v>45614</v>
      </c>
      <c r="E268" s="8" t="s">
        <v>4</v>
      </c>
      <c r="F268" s="10">
        <v>10</v>
      </c>
      <c r="G268" s="8" t="s">
        <v>23</v>
      </c>
      <c r="H268" s="8" t="s">
        <v>4</v>
      </c>
      <c r="I268" s="10" t="s">
        <v>25</v>
      </c>
      <c r="J268" s="8" t="s">
        <v>5</v>
      </c>
      <c r="K268" s="10">
        <v>20</v>
      </c>
      <c r="L268" s="10">
        <v>10</v>
      </c>
      <c r="M268" s="10">
        <v>20</v>
      </c>
    </row>
    <row r="269" spans="1:13" ht="16.5" customHeight="1" x14ac:dyDescent="0.35">
      <c r="A269" s="8">
        <v>3498</v>
      </c>
      <c r="B269" s="8" t="s">
        <v>281</v>
      </c>
      <c r="C269" s="8" t="s">
        <v>7</v>
      </c>
      <c r="D269" s="9">
        <v>45615</v>
      </c>
      <c r="E269" s="8" t="s">
        <v>5</v>
      </c>
      <c r="F269" s="10">
        <v>5</v>
      </c>
      <c r="G269" s="8" t="s">
        <v>27</v>
      </c>
      <c r="H269" s="8" t="s">
        <v>4</v>
      </c>
      <c r="I269" s="10" t="s">
        <v>25</v>
      </c>
      <c r="J269" s="8" t="s">
        <v>4</v>
      </c>
      <c r="K269" s="10">
        <v>0</v>
      </c>
      <c r="L269" s="10">
        <v>0</v>
      </c>
      <c r="M269" s="10">
        <v>5</v>
      </c>
    </row>
    <row r="270" spans="1:13" ht="16.5" customHeight="1" x14ac:dyDescent="0.35">
      <c r="A270" s="8">
        <v>3499</v>
      </c>
      <c r="B270" s="8" t="s">
        <v>282</v>
      </c>
      <c r="C270" s="8" t="s">
        <v>9</v>
      </c>
      <c r="D270" s="9">
        <v>45616</v>
      </c>
      <c r="E270" s="8" t="s">
        <v>4</v>
      </c>
      <c r="F270" s="10">
        <v>15</v>
      </c>
      <c r="G270" s="8" t="s">
        <v>23</v>
      </c>
      <c r="H270" s="8" t="s">
        <v>5</v>
      </c>
      <c r="I270" s="10">
        <v>30</v>
      </c>
      <c r="J270" s="8" t="s">
        <v>5</v>
      </c>
      <c r="K270" s="10">
        <v>20</v>
      </c>
      <c r="L270" s="10">
        <v>3</v>
      </c>
      <c r="M270" s="10">
        <v>62</v>
      </c>
    </row>
    <row r="271" spans="1:13" ht="16.5" customHeight="1" x14ac:dyDescent="0.35">
      <c r="A271" s="8">
        <v>3500</v>
      </c>
      <c r="B271" s="8" t="s">
        <v>283</v>
      </c>
      <c r="C271" s="8" t="s">
        <v>8</v>
      </c>
      <c r="D271" s="9">
        <v>45617</v>
      </c>
      <c r="E271" s="8" t="s">
        <v>5</v>
      </c>
      <c r="F271" s="10">
        <v>10</v>
      </c>
      <c r="G271" s="8" t="s">
        <v>1</v>
      </c>
      <c r="H271" s="8" t="s">
        <v>4</v>
      </c>
      <c r="I271" s="10" t="s">
        <v>25</v>
      </c>
      <c r="J271" s="8" t="s">
        <v>5</v>
      </c>
      <c r="K271" s="10">
        <v>20</v>
      </c>
      <c r="L271" s="10">
        <v>15</v>
      </c>
      <c r="M271" s="10">
        <v>15</v>
      </c>
    </row>
    <row r="272" spans="1:13" ht="16.5" customHeight="1" x14ac:dyDescent="0.35">
      <c r="A272" s="8">
        <v>3501</v>
      </c>
      <c r="B272" s="8" t="s">
        <v>284</v>
      </c>
      <c r="C272" s="8" t="s">
        <v>7</v>
      </c>
      <c r="D272" s="9">
        <v>45618</v>
      </c>
      <c r="E272" s="8" t="s">
        <v>4</v>
      </c>
      <c r="F272" s="10">
        <v>5</v>
      </c>
      <c r="G272" s="8" t="s">
        <v>23</v>
      </c>
      <c r="H272" s="8" t="s">
        <v>4</v>
      </c>
      <c r="I272" s="10" t="s">
        <v>25</v>
      </c>
      <c r="J272" s="8" t="s">
        <v>4</v>
      </c>
      <c r="K272" s="10">
        <v>0</v>
      </c>
      <c r="L272" s="10">
        <v>1</v>
      </c>
      <c r="M272" s="10">
        <v>4</v>
      </c>
    </row>
    <row r="273" spans="1:13" ht="16.5" customHeight="1" x14ac:dyDescent="0.35">
      <c r="A273" s="8">
        <v>3502</v>
      </c>
      <c r="B273" s="8" t="s">
        <v>285</v>
      </c>
      <c r="C273" s="8" t="s">
        <v>9</v>
      </c>
      <c r="D273" s="9">
        <v>45619</v>
      </c>
      <c r="E273" s="8" t="s">
        <v>5</v>
      </c>
      <c r="F273" s="10">
        <v>15</v>
      </c>
      <c r="G273" s="8" t="s">
        <v>27</v>
      </c>
      <c r="H273" s="8" t="s">
        <v>5</v>
      </c>
      <c r="I273" s="10">
        <v>30</v>
      </c>
      <c r="J273" s="8" t="s">
        <v>5</v>
      </c>
      <c r="K273" s="10">
        <v>20</v>
      </c>
      <c r="L273" s="10">
        <v>7</v>
      </c>
      <c r="M273" s="10">
        <v>58</v>
      </c>
    </row>
    <row r="274" spans="1:13" ht="16.5" customHeight="1" x14ac:dyDescent="0.35">
      <c r="A274" s="8">
        <v>3503</v>
      </c>
      <c r="B274" s="8" t="s">
        <v>144</v>
      </c>
      <c r="C274" s="8" t="s">
        <v>8</v>
      </c>
      <c r="D274" s="9">
        <v>45620</v>
      </c>
      <c r="E274" s="8" t="s">
        <v>4</v>
      </c>
      <c r="F274" s="10">
        <v>10</v>
      </c>
      <c r="G274" s="8" t="s">
        <v>23</v>
      </c>
      <c r="H274" s="8" t="s">
        <v>4</v>
      </c>
      <c r="I274" s="10" t="s">
        <v>25</v>
      </c>
      <c r="J274" s="8" t="s">
        <v>5</v>
      </c>
      <c r="K274" s="10">
        <v>20</v>
      </c>
      <c r="L274" s="10">
        <v>10</v>
      </c>
      <c r="M274" s="10">
        <v>20</v>
      </c>
    </row>
    <row r="275" spans="1:13" ht="16.5" customHeight="1" x14ac:dyDescent="0.35">
      <c r="A275" s="8">
        <v>3504</v>
      </c>
      <c r="B275" s="8" t="s">
        <v>286</v>
      </c>
      <c r="C275" s="8" t="s">
        <v>7</v>
      </c>
      <c r="D275" s="9">
        <v>45621</v>
      </c>
      <c r="E275" s="8" t="s">
        <v>5</v>
      </c>
      <c r="F275" s="10">
        <v>5</v>
      </c>
      <c r="G275" s="8" t="s">
        <v>1</v>
      </c>
      <c r="H275" s="8" t="s">
        <v>4</v>
      </c>
      <c r="I275" s="10" t="s">
        <v>25</v>
      </c>
      <c r="J275" s="8" t="s">
        <v>4</v>
      </c>
      <c r="K275" s="10">
        <v>0</v>
      </c>
      <c r="L275" s="10">
        <v>0</v>
      </c>
      <c r="M275" s="10">
        <v>5</v>
      </c>
    </row>
    <row r="276" spans="1:13" ht="16.5" customHeight="1" x14ac:dyDescent="0.35">
      <c r="A276" s="8">
        <v>3505</v>
      </c>
      <c r="B276" s="8" t="s">
        <v>287</v>
      </c>
      <c r="C276" s="8" t="s">
        <v>9</v>
      </c>
      <c r="D276" s="9">
        <v>45622</v>
      </c>
      <c r="E276" s="8" t="s">
        <v>4</v>
      </c>
      <c r="F276" s="10">
        <v>15</v>
      </c>
      <c r="G276" s="8" t="s">
        <v>23</v>
      </c>
      <c r="H276" s="8" t="s">
        <v>5</v>
      </c>
      <c r="I276" s="10">
        <v>30</v>
      </c>
      <c r="J276" s="8" t="s">
        <v>5</v>
      </c>
      <c r="K276" s="10">
        <v>20</v>
      </c>
      <c r="L276" s="10">
        <v>20</v>
      </c>
      <c r="M276" s="10">
        <v>45</v>
      </c>
    </row>
    <row r="277" spans="1:13" ht="16.5" customHeight="1" x14ac:dyDescent="0.35">
      <c r="A277" s="8">
        <v>3506</v>
      </c>
      <c r="B277" s="8" t="s">
        <v>288</v>
      </c>
      <c r="C277" s="8" t="s">
        <v>8</v>
      </c>
      <c r="D277" s="9">
        <v>45623</v>
      </c>
      <c r="E277" s="8" t="s">
        <v>5</v>
      </c>
      <c r="F277" s="10">
        <v>10</v>
      </c>
      <c r="G277" s="8" t="s">
        <v>27</v>
      </c>
      <c r="H277" s="8" t="s">
        <v>4</v>
      </c>
      <c r="I277" s="10" t="s">
        <v>25</v>
      </c>
      <c r="J277" s="8" t="s">
        <v>5</v>
      </c>
      <c r="K277" s="10">
        <v>20</v>
      </c>
      <c r="L277" s="10">
        <v>15</v>
      </c>
      <c r="M277" s="10">
        <v>15</v>
      </c>
    </row>
    <row r="278" spans="1:13" ht="16.5" customHeight="1" x14ac:dyDescent="0.35">
      <c r="A278" s="8">
        <v>3507</v>
      </c>
      <c r="B278" s="8" t="s">
        <v>289</v>
      </c>
      <c r="C278" s="8" t="s">
        <v>7</v>
      </c>
      <c r="D278" s="9">
        <v>45624</v>
      </c>
      <c r="E278" s="8" t="s">
        <v>4</v>
      </c>
      <c r="F278" s="10">
        <v>5</v>
      </c>
      <c r="G278" s="8" t="s">
        <v>23</v>
      </c>
      <c r="H278" s="8" t="s">
        <v>4</v>
      </c>
      <c r="I278" s="10" t="s">
        <v>25</v>
      </c>
      <c r="J278" s="8" t="s">
        <v>4</v>
      </c>
      <c r="K278" s="10">
        <v>0</v>
      </c>
      <c r="L278" s="10">
        <v>1</v>
      </c>
      <c r="M278" s="10">
        <v>4</v>
      </c>
    </row>
    <row r="279" spans="1:13" ht="16.5" customHeight="1" x14ac:dyDescent="0.35">
      <c r="A279" s="8">
        <v>3508</v>
      </c>
      <c r="B279" s="8" t="s">
        <v>290</v>
      </c>
      <c r="C279" s="8" t="s">
        <v>9</v>
      </c>
      <c r="D279" s="9">
        <v>45625</v>
      </c>
      <c r="E279" s="8" t="s">
        <v>5</v>
      </c>
      <c r="F279" s="10">
        <v>15</v>
      </c>
      <c r="G279" s="8" t="s">
        <v>1</v>
      </c>
      <c r="H279" s="8" t="s">
        <v>5</v>
      </c>
      <c r="I279" s="10">
        <v>30</v>
      </c>
      <c r="J279" s="8" t="s">
        <v>5</v>
      </c>
      <c r="K279" s="10">
        <v>20</v>
      </c>
      <c r="L279" s="10">
        <v>3</v>
      </c>
      <c r="M279" s="10">
        <v>62</v>
      </c>
    </row>
    <row r="280" spans="1:13" ht="16.5" customHeight="1" x14ac:dyDescent="0.35">
      <c r="A280" s="8">
        <v>3509</v>
      </c>
      <c r="B280" s="8" t="s">
        <v>291</v>
      </c>
      <c r="C280" s="8" t="s">
        <v>8</v>
      </c>
      <c r="D280" s="9">
        <v>45626</v>
      </c>
      <c r="E280" s="8" t="s">
        <v>4</v>
      </c>
      <c r="F280" s="10">
        <v>10</v>
      </c>
      <c r="G280" s="8" t="s">
        <v>23</v>
      </c>
      <c r="H280" s="8" t="s">
        <v>4</v>
      </c>
      <c r="I280" s="10" t="s">
        <v>25</v>
      </c>
      <c r="J280" s="8" t="s">
        <v>5</v>
      </c>
      <c r="K280" s="10">
        <v>20</v>
      </c>
      <c r="L280" s="10">
        <v>10</v>
      </c>
      <c r="M280" s="10">
        <v>20</v>
      </c>
    </row>
    <row r="281" spans="1:13" ht="16.5" customHeight="1" x14ac:dyDescent="0.35">
      <c r="A281" s="8">
        <v>3510</v>
      </c>
      <c r="B281" s="8" t="s">
        <v>292</v>
      </c>
      <c r="C281" s="8" t="s">
        <v>7</v>
      </c>
      <c r="D281" s="9">
        <v>45627</v>
      </c>
      <c r="E281" s="8" t="s">
        <v>5</v>
      </c>
      <c r="F281" s="10">
        <v>5</v>
      </c>
      <c r="G281" s="8" t="s">
        <v>27</v>
      </c>
      <c r="H281" s="8" t="s">
        <v>4</v>
      </c>
      <c r="I281" s="10" t="s">
        <v>25</v>
      </c>
      <c r="J281" s="8" t="s">
        <v>4</v>
      </c>
      <c r="K281" s="10">
        <v>0</v>
      </c>
      <c r="L281" s="10">
        <v>0</v>
      </c>
      <c r="M281" s="10">
        <v>5</v>
      </c>
    </row>
    <row r="282" spans="1:13" ht="16.5" customHeight="1" x14ac:dyDescent="0.35">
      <c r="A282" s="8">
        <v>3511</v>
      </c>
      <c r="B282" s="8" t="s">
        <v>293</v>
      </c>
      <c r="C282" s="8" t="s">
        <v>9</v>
      </c>
      <c r="D282" s="9">
        <v>45628</v>
      </c>
      <c r="E282" s="8" t="s">
        <v>4</v>
      </c>
      <c r="F282" s="10">
        <v>15</v>
      </c>
      <c r="G282" s="8" t="s">
        <v>23</v>
      </c>
      <c r="H282" s="8" t="s">
        <v>5</v>
      </c>
      <c r="I282" s="10">
        <v>30</v>
      </c>
      <c r="J282" s="8" t="s">
        <v>5</v>
      </c>
      <c r="K282" s="10">
        <v>20</v>
      </c>
      <c r="L282" s="10">
        <v>15</v>
      </c>
      <c r="M282" s="10">
        <v>50</v>
      </c>
    </row>
    <row r="283" spans="1:13" ht="16.5" customHeight="1" x14ac:dyDescent="0.35">
      <c r="A283" s="8">
        <v>3512</v>
      </c>
      <c r="B283" s="8" t="s">
        <v>294</v>
      </c>
      <c r="C283" s="8" t="s">
        <v>8</v>
      </c>
      <c r="D283" s="9">
        <v>45629</v>
      </c>
      <c r="E283" s="8" t="s">
        <v>5</v>
      </c>
      <c r="F283" s="10">
        <v>10</v>
      </c>
      <c r="G283" s="8" t="s">
        <v>1</v>
      </c>
      <c r="H283" s="8" t="s">
        <v>4</v>
      </c>
      <c r="I283" s="10" t="s">
        <v>25</v>
      </c>
      <c r="J283" s="8" t="s">
        <v>5</v>
      </c>
      <c r="K283" s="10">
        <v>20</v>
      </c>
      <c r="L283" s="10">
        <v>15</v>
      </c>
      <c r="M283" s="10">
        <v>15</v>
      </c>
    </row>
    <row r="284" spans="1:13" ht="16.5" customHeight="1" x14ac:dyDescent="0.35">
      <c r="A284" s="8">
        <v>3513</v>
      </c>
      <c r="B284" s="8" t="s">
        <v>295</v>
      </c>
      <c r="C284" s="8" t="s">
        <v>7</v>
      </c>
      <c r="D284" s="9">
        <v>45630</v>
      </c>
      <c r="E284" s="8" t="s">
        <v>4</v>
      </c>
      <c r="F284" s="10">
        <v>5</v>
      </c>
      <c r="G284" s="8" t="s">
        <v>23</v>
      </c>
      <c r="H284" s="8" t="s">
        <v>4</v>
      </c>
      <c r="I284" s="10" t="s">
        <v>25</v>
      </c>
      <c r="J284" s="8" t="s">
        <v>4</v>
      </c>
      <c r="K284" s="10">
        <v>0</v>
      </c>
      <c r="L284" s="10">
        <v>1</v>
      </c>
      <c r="M284" s="10">
        <v>4</v>
      </c>
    </row>
    <row r="285" spans="1:13" ht="16.5" customHeight="1" x14ac:dyDescent="0.35">
      <c r="A285" s="8">
        <v>3514</v>
      </c>
      <c r="B285" s="8" t="s">
        <v>296</v>
      </c>
      <c r="C285" s="8" t="s">
        <v>9</v>
      </c>
      <c r="D285" s="9">
        <v>45631</v>
      </c>
      <c r="E285" s="8" t="s">
        <v>5</v>
      </c>
      <c r="F285" s="10">
        <v>15</v>
      </c>
      <c r="G285" s="8" t="s">
        <v>27</v>
      </c>
      <c r="H285" s="8" t="s">
        <v>5</v>
      </c>
      <c r="I285" s="10">
        <v>30</v>
      </c>
      <c r="J285" s="8" t="s">
        <v>5</v>
      </c>
      <c r="K285" s="10">
        <v>20</v>
      </c>
      <c r="L285" s="10">
        <v>7</v>
      </c>
      <c r="M285" s="10">
        <v>58</v>
      </c>
    </row>
    <row r="286" spans="1:13" ht="16.5" customHeight="1" x14ac:dyDescent="0.35">
      <c r="A286" s="8">
        <v>3515</v>
      </c>
      <c r="B286" s="8" t="s">
        <v>155</v>
      </c>
      <c r="C286" s="8" t="s">
        <v>8</v>
      </c>
      <c r="D286" s="9">
        <v>45632</v>
      </c>
      <c r="E286" s="8" t="s">
        <v>4</v>
      </c>
      <c r="F286" s="10">
        <v>10</v>
      </c>
      <c r="G286" s="8" t="s">
        <v>23</v>
      </c>
      <c r="H286" s="8" t="s">
        <v>4</v>
      </c>
      <c r="I286" s="10" t="s">
        <v>25</v>
      </c>
      <c r="J286" s="8" t="s">
        <v>5</v>
      </c>
      <c r="K286" s="10">
        <v>20</v>
      </c>
      <c r="L286" s="10">
        <v>10</v>
      </c>
      <c r="M286" s="10">
        <v>20</v>
      </c>
    </row>
    <row r="287" spans="1:13" ht="16.5" customHeight="1" x14ac:dyDescent="0.35">
      <c r="A287" s="8">
        <v>3516</v>
      </c>
      <c r="B287" s="8" t="s">
        <v>156</v>
      </c>
      <c r="C287" s="8" t="s">
        <v>7</v>
      </c>
      <c r="D287" s="9">
        <v>45633</v>
      </c>
      <c r="E287" s="8" t="s">
        <v>5</v>
      </c>
      <c r="F287" s="10">
        <v>5</v>
      </c>
      <c r="G287" s="8" t="s">
        <v>1</v>
      </c>
      <c r="H287" s="8" t="s">
        <v>4</v>
      </c>
      <c r="I287" s="10" t="s">
        <v>25</v>
      </c>
      <c r="J287" s="8" t="s">
        <v>4</v>
      </c>
      <c r="K287" s="10">
        <v>0</v>
      </c>
      <c r="L287" s="10">
        <v>0</v>
      </c>
      <c r="M287" s="10">
        <v>5</v>
      </c>
    </row>
    <row r="288" spans="1:13" ht="16.5" customHeight="1" x14ac:dyDescent="0.35">
      <c r="A288" s="8">
        <v>3517</v>
      </c>
      <c r="B288" s="8" t="s">
        <v>206</v>
      </c>
      <c r="C288" s="8" t="s">
        <v>9</v>
      </c>
      <c r="D288" s="9">
        <v>45634</v>
      </c>
      <c r="E288" s="8" t="s">
        <v>4</v>
      </c>
      <c r="F288" s="10">
        <v>15</v>
      </c>
      <c r="G288" s="8" t="s">
        <v>23</v>
      </c>
      <c r="H288" s="8" t="s">
        <v>5</v>
      </c>
      <c r="I288" s="10">
        <v>30</v>
      </c>
      <c r="J288" s="8" t="s">
        <v>5</v>
      </c>
      <c r="K288" s="10">
        <v>20</v>
      </c>
      <c r="L288" s="10">
        <v>20</v>
      </c>
      <c r="M288" s="10">
        <v>45</v>
      </c>
    </row>
    <row r="289" spans="1:13" ht="16.5" customHeight="1" x14ac:dyDescent="0.35">
      <c r="A289" s="8">
        <v>3518</v>
      </c>
      <c r="B289" s="8" t="s">
        <v>297</v>
      </c>
      <c r="C289" s="8" t="s">
        <v>8</v>
      </c>
      <c r="D289" s="9">
        <v>45635</v>
      </c>
      <c r="E289" s="8" t="s">
        <v>5</v>
      </c>
      <c r="F289" s="10">
        <v>10</v>
      </c>
      <c r="G289" s="8" t="s">
        <v>27</v>
      </c>
      <c r="H289" s="8" t="s">
        <v>4</v>
      </c>
      <c r="I289" s="10" t="s">
        <v>25</v>
      </c>
      <c r="J289" s="8" t="s">
        <v>5</v>
      </c>
      <c r="K289" s="10">
        <v>20</v>
      </c>
      <c r="L289" s="10">
        <v>12</v>
      </c>
      <c r="M289" s="10">
        <v>18</v>
      </c>
    </row>
    <row r="290" spans="1:13" ht="16.5" customHeight="1" x14ac:dyDescent="0.35">
      <c r="A290" s="8">
        <v>3519</v>
      </c>
      <c r="B290" s="8" t="s">
        <v>298</v>
      </c>
      <c r="C290" s="8" t="s">
        <v>7</v>
      </c>
      <c r="D290" s="9">
        <v>45636</v>
      </c>
      <c r="E290" s="8" t="s">
        <v>4</v>
      </c>
      <c r="F290" s="10">
        <v>5</v>
      </c>
      <c r="G290" s="8" t="s">
        <v>23</v>
      </c>
      <c r="H290" s="8" t="s">
        <v>4</v>
      </c>
      <c r="I290" s="10" t="s">
        <v>25</v>
      </c>
      <c r="J290" s="8" t="s">
        <v>4</v>
      </c>
      <c r="K290" s="10">
        <v>0</v>
      </c>
      <c r="L290" s="10">
        <v>2</v>
      </c>
      <c r="M290" s="10">
        <v>3</v>
      </c>
    </row>
    <row r="291" spans="1:13" ht="16.5" customHeight="1" x14ac:dyDescent="0.35">
      <c r="A291" s="8">
        <v>3520</v>
      </c>
      <c r="B291" s="8" t="s">
        <v>299</v>
      </c>
      <c r="C291" s="8" t="s">
        <v>9</v>
      </c>
      <c r="D291" s="9">
        <v>45637</v>
      </c>
      <c r="E291" s="8" t="s">
        <v>5</v>
      </c>
      <c r="F291" s="10">
        <v>15</v>
      </c>
      <c r="G291" s="8" t="s">
        <v>1</v>
      </c>
      <c r="H291" s="8" t="s">
        <v>5</v>
      </c>
      <c r="I291" s="10">
        <v>30</v>
      </c>
      <c r="J291" s="8" t="s">
        <v>5</v>
      </c>
      <c r="K291" s="10">
        <v>20</v>
      </c>
      <c r="L291" s="10">
        <v>5</v>
      </c>
      <c r="M291" s="10">
        <v>60</v>
      </c>
    </row>
    <row r="292" spans="1:13" ht="16.5" customHeight="1" x14ac:dyDescent="0.35">
      <c r="A292" s="8">
        <v>3521</v>
      </c>
      <c r="B292" s="8" t="s">
        <v>300</v>
      </c>
      <c r="C292" s="8" t="s">
        <v>8</v>
      </c>
      <c r="D292" s="9">
        <v>45638</v>
      </c>
      <c r="E292" s="8" t="s">
        <v>4</v>
      </c>
      <c r="F292" s="10">
        <v>10</v>
      </c>
      <c r="G292" s="8" t="s">
        <v>23</v>
      </c>
      <c r="H292" s="8" t="s">
        <v>4</v>
      </c>
      <c r="I292" s="10" t="s">
        <v>25</v>
      </c>
      <c r="J292" s="8" t="s">
        <v>5</v>
      </c>
      <c r="K292" s="10">
        <v>20</v>
      </c>
      <c r="L292" s="10">
        <v>10</v>
      </c>
      <c r="M292" s="10">
        <v>20</v>
      </c>
    </row>
    <row r="293" spans="1:13" ht="16.5" customHeight="1" x14ac:dyDescent="0.35">
      <c r="A293" s="8">
        <v>3522</v>
      </c>
      <c r="B293" s="8" t="s">
        <v>301</v>
      </c>
      <c r="C293" s="8" t="s">
        <v>7</v>
      </c>
      <c r="D293" s="9">
        <v>45639</v>
      </c>
      <c r="E293" s="8" t="s">
        <v>5</v>
      </c>
      <c r="F293" s="10">
        <v>5</v>
      </c>
      <c r="G293" s="8" t="s">
        <v>27</v>
      </c>
      <c r="H293" s="8" t="s">
        <v>4</v>
      </c>
      <c r="I293" s="10" t="s">
        <v>25</v>
      </c>
      <c r="J293" s="8" t="s">
        <v>4</v>
      </c>
      <c r="K293" s="10">
        <v>0</v>
      </c>
      <c r="L293" s="10">
        <v>0</v>
      </c>
      <c r="M293" s="10">
        <v>5</v>
      </c>
    </row>
    <row r="294" spans="1:13" ht="16.5" customHeight="1" x14ac:dyDescent="0.35">
      <c r="A294" s="8">
        <v>3523</v>
      </c>
      <c r="B294" s="8" t="s">
        <v>302</v>
      </c>
      <c r="C294" s="8" t="s">
        <v>9</v>
      </c>
      <c r="D294" s="9">
        <v>45640</v>
      </c>
      <c r="E294" s="8" t="s">
        <v>4</v>
      </c>
      <c r="F294" s="10">
        <v>15</v>
      </c>
      <c r="G294" s="8" t="s">
        <v>23</v>
      </c>
      <c r="H294" s="8" t="s">
        <v>5</v>
      </c>
      <c r="I294" s="10">
        <v>30</v>
      </c>
      <c r="J294" s="8" t="s">
        <v>5</v>
      </c>
      <c r="K294" s="10">
        <v>20</v>
      </c>
      <c r="L294" s="10">
        <v>3</v>
      </c>
      <c r="M294" s="10">
        <v>62</v>
      </c>
    </row>
    <row r="295" spans="1:13" ht="16.5" customHeight="1" x14ac:dyDescent="0.35">
      <c r="A295" s="8">
        <v>3524</v>
      </c>
      <c r="B295" s="8" t="s">
        <v>303</v>
      </c>
      <c r="C295" s="8" t="s">
        <v>8</v>
      </c>
      <c r="D295" s="9">
        <v>45641</v>
      </c>
      <c r="E295" s="8" t="s">
        <v>5</v>
      </c>
      <c r="F295" s="10">
        <v>10</v>
      </c>
      <c r="G295" s="8" t="s">
        <v>1</v>
      </c>
      <c r="H295" s="8" t="s">
        <v>4</v>
      </c>
      <c r="I295" s="10" t="s">
        <v>25</v>
      </c>
      <c r="J295" s="8" t="s">
        <v>5</v>
      </c>
      <c r="K295" s="10">
        <v>20</v>
      </c>
      <c r="L295" s="10">
        <v>15</v>
      </c>
      <c r="M295" s="10">
        <v>15</v>
      </c>
    </row>
    <row r="296" spans="1:13" ht="16.5" customHeight="1" x14ac:dyDescent="0.35">
      <c r="A296" s="8">
        <v>3525</v>
      </c>
      <c r="B296" s="8" t="s">
        <v>304</v>
      </c>
      <c r="C296" s="8" t="s">
        <v>7</v>
      </c>
      <c r="D296" s="9">
        <v>45642</v>
      </c>
      <c r="E296" s="8" t="s">
        <v>4</v>
      </c>
      <c r="F296" s="10">
        <v>5</v>
      </c>
      <c r="G296" s="8" t="s">
        <v>23</v>
      </c>
      <c r="H296" s="8" t="s">
        <v>4</v>
      </c>
      <c r="I296" s="10" t="s">
        <v>25</v>
      </c>
      <c r="J296" s="8" t="s">
        <v>4</v>
      </c>
      <c r="K296" s="10">
        <v>0</v>
      </c>
      <c r="L296" s="10">
        <v>1</v>
      </c>
      <c r="M296" s="10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D1999-389A-4CA3-8156-427A0073EDA5}">
  <sheetPr>
    <tabColor rgb="FF22C55E"/>
  </sheetPr>
  <dimension ref="B1:S51"/>
  <sheetViews>
    <sheetView showGridLines="0" showRowColHeaders="0" topLeftCell="A5" zoomScale="75" zoomScaleNormal="75" workbookViewId="0">
      <selection activeCell="L78" sqref="L7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x14ac:dyDescent="0.35"/>
  <cols>
    <col min="1" max="1" width="8.7265625" customWidth="1"/>
    <col min="2" max="2" width="19.7265625" bestFit="1" customWidth="1"/>
    <col min="3" max="3" width="16" bestFit="1" customWidth="1"/>
    <col min="4" max="4" width="15.08984375" bestFit="1" customWidth="1"/>
    <col min="5" max="5" width="6" customWidth="1"/>
    <col min="6" max="6" width="17.7265625" bestFit="1" customWidth="1"/>
    <col min="7" max="7" width="15.90625" bestFit="1" customWidth="1"/>
    <col min="8" max="8" width="12.1796875" bestFit="1" customWidth="1"/>
    <col min="9" max="9" width="7.90625" customWidth="1"/>
    <col min="10" max="10" width="24.453125" customWidth="1"/>
    <col min="11" max="11" width="12.26953125" bestFit="1" customWidth="1"/>
    <col min="12" max="12" width="9.26953125" customWidth="1"/>
    <col min="13" max="13" width="10.81640625" bestFit="1" customWidth="1"/>
    <col min="14" max="15" width="9.7265625" bestFit="1" customWidth="1"/>
    <col min="16" max="17" width="9.7265625" hidden="1"/>
    <col min="18" max="18" width="15.54296875" hidden="1"/>
    <col min="19" max="19" width="12.1796875" hidden="1"/>
    <col min="20" max="16384" width="8.7265625" hidden="1"/>
  </cols>
  <sheetData>
    <row r="1" spans="2:11" hidden="1" x14ac:dyDescent="0.35"/>
    <row r="2" spans="2:11" hidden="1" x14ac:dyDescent="0.35"/>
    <row r="3" spans="2:11" hidden="1" x14ac:dyDescent="0.35"/>
    <row r="4" spans="2:11" hidden="1" x14ac:dyDescent="0.35"/>
    <row r="7" spans="2:11" ht="16" x14ac:dyDescent="0.4">
      <c r="B7" s="19" t="s">
        <v>319</v>
      </c>
      <c r="C7" s="19"/>
      <c r="D7" s="19"/>
      <c r="E7" s="19"/>
      <c r="F7" s="19"/>
      <c r="G7" s="19"/>
      <c r="H7" s="19"/>
      <c r="J7" s="11" t="s">
        <v>305</v>
      </c>
      <c r="K7" s="11"/>
    </row>
    <row r="9" spans="2:11" x14ac:dyDescent="0.35">
      <c r="J9" s="12" t="s">
        <v>306</v>
      </c>
      <c r="K9" s="12" t="s">
        <v>307</v>
      </c>
    </row>
    <row r="10" spans="2:11" x14ac:dyDescent="0.35">
      <c r="B10" s="11" t="s">
        <v>315</v>
      </c>
      <c r="C10" s="11"/>
      <c r="D10" s="11"/>
      <c r="F10" s="11" t="s">
        <v>321</v>
      </c>
      <c r="G10" s="11"/>
      <c r="H10" s="11"/>
      <c r="J10" s="13" t="s">
        <v>308</v>
      </c>
      <c r="K10" s="16">
        <f>GETPIVOTDATA("Total Value",$B$15)</f>
        <v>7633</v>
      </c>
    </row>
    <row r="11" spans="2:11" x14ac:dyDescent="0.35">
      <c r="B11" s="11" t="s">
        <v>316</v>
      </c>
      <c r="C11" s="11"/>
      <c r="D11" s="11"/>
      <c r="J11" s="14" t="s">
        <v>309</v>
      </c>
      <c r="K11" s="14">
        <f>GETPIVOTDATA("Subscriber ID",$B$43)</f>
        <v>295</v>
      </c>
    </row>
    <row r="12" spans="2:11" x14ac:dyDescent="0.35">
      <c r="F12" s="5" t="s">
        <v>0</v>
      </c>
      <c r="G12" t="s">
        <v>314</v>
      </c>
      <c r="J12" s="14" t="s">
        <v>310</v>
      </c>
      <c r="K12" s="20">
        <f>GETPIVOTDATA("Total Value",$F$14)</f>
        <v>25.874576271186442</v>
      </c>
    </row>
    <row r="13" spans="2:11" x14ac:dyDescent="0.35">
      <c r="B13" s="5" t="s">
        <v>0</v>
      </c>
      <c r="C13" t="s">
        <v>314</v>
      </c>
      <c r="J13" s="14" t="s">
        <v>311</v>
      </c>
      <c r="K13" s="22">
        <f>GETPIVOTDATA("% Renovação",$F$24,"Auto Renewal","Yes")</f>
        <v>0.50169491525423726</v>
      </c>
    </row>
    <row r="14" spans="2:11" x14ac:dyDescent="0.35">
      <c r="F14" s="5" t="s">
        <v>2</v>
      </c>
      <c r="G14" t="s">
        <v>329</v>
      </c>
      <c r="J14" s="14" t="s">
        <v>312</v>
      </c>
      <c r="K14" s="14">
        <f>GETPIVOTDATA("Qtd. Assinaturas",$F$24,"Auto Renewal","Yes")</f>
        <v>148</v>
      </c>
    </row>
    <row r="15" spans="2:11" x14ac:dyDescent="0.35">
      <c r="B15" s="5" t="s">
        <v>2</v>
      </c>
      <c r="C15" t="s">
        <v>3</v>
      </c>
      <c r="F15" s="3" t="s">
        <v>7</v>
      </c>
      <c r="G15" s="4">
        <v>4.3960396039603964</v>
      </c>
      <c r="J15" s="15" t="s">
        <v>313</v>
      </c>
      <c r="K15" s="15">
        <f>GETPIVOTDATA("Qtd. Assinaturas",$F$24,"Auto Renewal","No")</f>
        <v>147</v>
      </c>
    </row>
    <row r="16" spans="2:11" x14ac:dyDescent="0.35">
      <c r="B16" s="3" t="s">
        <v>4</v>
      </c>
      <c r="C16" s="4">
        <v>3847</v>
      </c>
      <c r="D16" s="4"/>
      <c r="F16" s="3" t="s">
        <v>8</v>
      </c>
      <c r="G16" s="4">
        <v>18.760416666666668</v>
      </c>
    </row>
    <row r="17" spans="2:11" x14ac:dyDescent="0.35">
      <c r="B17" s="3" t="s">
        <v>5</v>
      </c>
      <c r="C17" s="4">
        <v>3786</v>
      </c>
      <c r="D17" s="4"/>
      <c r="F17" s="3" t="s">
        <v>9</v>
      </c>
      <c r="G17" s="4">
        <v>54.979591836734691</v>
      </c>
      <c r="J17" s="11" t="s">
        <v>332</v>
      </c>
      <c r="K17" s="11"/>
    </row>
    <row r="18" spans="2:11" x14ac:dyDescent="0.35">
      <c r="B18" s="3" t="s">
        <v>6</v>
      </c>
      <c r="C18" s="4">
        <v>7633</v>
      </c>
      <c r="D18" s="4"/>
      <c r="F18" s="3" t="s">
        <v>6</v>
      </c>
      <c r="G18" s="4">
        <v>25.874576271186442</v>
      </c>
    </row>
    <row r="19" spans="2:11" x14ac:dyDescent="0.35">
      <c r="J19" s="12" t="s">
        <v>306</v>
      </c>
      <c r="K19" s="12" t="s">
        <v>307</v>
      </c>
    </row>
    <row r="20" spans="2:11" x14ac:dyDescent="0.35">
      <c r="B20" s="18" t="s">
        <v>317</v>
      </c>
      <c r="C20" s="18"/>
      <c r="D20" s="18"/>
      <c r="F20" s="11" t="s">
        <v>322</v>
      </c>
      <c r="G20" s="11"/>
      <c r="H20" s="11"/>
      <c r="J20" s="13" t="s">
        <v>333</v>
      </c>
      <c r="K20" s="16">
        <f>GETPIVOTDATA("Total Value",$F$33,"Plan","Core")</f>
        <v>444</v>
      </c>
    </row>
    <row r="21" spans="2:11" x14ac:dyDescent="0.35">
      <c r="J21" s="14" t="s">
        <v>334</v>
      </c>
      <c r="K21" s="24">
        <f>GETPIVOTDATA("Total Value",$F$33,"Plan","Standard")</f>
        <v>1801</v>
      </c>
    </row>
    <row r="22" spans="2:11" x14ac:dyDescent="0.35">
      <c r="B22" s="5" t="s">
        <v>0</v>
      </c>
      <c r="C22" t="s">
        <v>314</v>
      </c>
      <c r="F22" s="5" t="s">
        <v>0</v>
      </c>
      <c r="G22" t="s">
        <v>314</v>
      </c>
      <c r="J22" s="14" t="s">
        <v>335</v>
      </c>
      <c r="K22" s="20">
        <f>GETPIVOTDATA("Total Value",$F$33,"Plan","Ultimate")</f>
        <v>5388</v>
      </c>
    </row>
    <row r="23" spans="2:11" x14ac:dyDescent="0.35">
      <c r="B23" s="5" t="s">
        <v>16</v>
      </c>
      <c r="C23" t="s">
        <v>5</v>
      </c>
      <c r="J23" s="14" t="s">
        <v>336</v>
      </c>
      <c r="K23" s="17">
        <f>IFERROR(GETPIVOTDATA("Total Value",$F$43,"Subscription Type","Monthly"),0)</f>
        <v>3571</v>
      </c>
    </row>
    <row r="24" spans="2:11" x14ac:dyDescent="0.35">
      <c r="F24" s="5" t="s">
        <v>2</v>
      </c>
      <c r="G24" t="s">
        <v>323</v>
      </c>
      <c r="H24" t="s">
        <v>324</v>
      </c>
      <c r="J24" s="14" t="s">
        <v>337</v>
      </c>
      <c r="K24" s="17">
        <f>IFERROR(GETPIVOTDATA("Total Value",$F$43,"Subscription Type","Quarterly"),0)</f>
        <v>2308</v>
      </c>
    </row>
    <row r="25" spans="2:11" x14ac:dyDescent="0.35">
      <c r="B25" s="5" t="s">
        <v>2</v>
      </c>
      <c r="C25" t="s">
        <v>327</v>
      </c>
      <c r="D25" t="s">
        <v>323</v>
      </c>
      <c r="F25" s="3" t="s">
        <v>4</v>
      </c>
      <c r="G25" s="6">
        <v>147</v>
      </c>
      <c r="H25" s="21">
        <v>0.49830508474576274</v>
      </c>
      <c r="J25" s="15" t="s">
        <v>338</v>
      </c>
      <c r="K25" s="17">
        <f>IFERROR(GETPIVOTDATA("Total Value",$F$43,"Subscription Type","Annual"),0)</f>
        <v>1754</v>
      </c>
    </row>
    <row r="26" spans="2:11" x14ac:dyDescent="0.35">
      <c r="B26" s="3" t="s">
        <v>9</v>
      </c>
      <c r="C26" s="17">
        <v>2940</v>
      </c>
      <c r="D26" s="6">
        <v>98</v>
      </c>
      <c r="F26" s="3" t="s">
        <v>5</v>
      </c>
      <c r="G26" s="6">
        <v>148</v>
      </c>
      <c r="H26" s="21">
        <v>0.50169491525423726</v>
      </c>
      <c r="I26" s="21"/>
      <c r="J26" s="14" t="s">
        <v>339</v>
      </c>
      <c r="K26" s="22" t="str">
        <f>INDEX(F34:F36,MATCH(MAX(G34:G36),G34:G36,0))</f>
        <v>Ultimate</v>
      </c>
    </row>
    <row r="27" spans="2:11" x14ac:dyDescent="0.35">
      <c r="B27" s="3" t="s">
        <v>6</v>
      </c>
      <c r="C27" s="17">
        <v>2940</v>
      </c>
      <c r="D27" s="6">
        <v>98</v>
      </c>
      <c r="F27" s="3" t="s">
        <v>6</v>
      </c>
      <c r="G27" s="6">
        <v>295</v>
      </c>
      <c r="H27" s="21">
        <v>1</v>
      </c>
      <c r="I27" s="21"/>
      <c r="J27" s="14" t="s">
        <v>340</v>
      </c>
      <c r="K27" s="22" t="str">
        <f>INDEX(F44:F46,MATCH(MAX(G44:G46),G44:G46,0))</f>
        <v>Monthly</v>
      </c>
    </row>
    <row r="28" spans="2:11" x14ac:dyDescent="0.35">
      <c r="I28" s="21"/>
    </row>
    <row r="29" spans="2:11" x14ac:dyDescent="0.35">
      <c r="B29" s="23" t="s">
        <v>318</v>
      </c>
      <c r="C29" s="23"/>
      <c r="D29" s="18"/>
      <c r="F29" s="11" t="s">
        <v>325</v>
      </c>
      <c r="G29" s="11"/>
      <c r="H29" s="11"/>
      <c r="J29" s="11" t="s">
        <v>341</v>
      </c>
      <c r="K29" s="11"/>
    </row>
    <row r="31" spans="2:11" x14ac:dyDescent="0.35">
      <c r="B31" s="5" t="s">
        <v>0</v>
      </c>
      <c r="C31" t="s">
        <v>314</v>
      </c>
      <c r="F31" s="5" t="s">
        <v>0</v>
      </c>
      <c r="G31" t="s">
        <v>314</v>
      </c>
      <c r="J31" s="12" t="s">
        <v>306</v>
      </c>
      <c r="K31" s="12" t="s">
        <v>307</v>
      </c>
    </row>
    <row r="32" spans="2:11" x14ac:dyDescent="0.35">
      <c r="B32" s="5" t="s">
        <v>18</v>
      </c>
      <c r="C32" t="s">
        <v>5</v>
      </c>
      <c r="J32" s="13" t="s">
        <v>327</v>
      </c>
      <c r="K32" s="16">
        <f>GETPIVOTDATA("Receita EA Play",$B$25)</f>
        <v>2940</v>
      </c>
    </row>
    <row r="33" spans="2:14" x14ac:dyDescent="0.35">
      <c r="F33" s="5" t="s">
        <v>2</v>
      </c>
      <c r="G33" t="s">
        <v>330</v>
      </c>
      <c r="J33" s="14" t="s">
        <v>328</v>
      </c>
      <c r="K33" s="24">
        <f>GETPIVOTDATA("Receita Minecraft",$B$34)</f>
        <v>3880</v>
      </c>
    </row>
    <row r="34" spans="2:14" x14ac:dyDescent="0.35">
      <c r="B34" s="5" t="s">
        <v>2</v>
      </c>
      <c r="C34" t="s">
        <v>328</v>
      </c>
      <c r="D34" t="s">
        <v>323</v>
      </c>
      <c r="F34" s="3" t="s">
        <v>7</v>
      </c>
      <c r="G34" s="4">
        <v>444</v>
      </c>
      <c r="J34" s="14" t="s">
        <v>342</v>
      </c>
      <c r="K34" s="26">
        <f>SUM(K32,K33)</f>
        <v>6820</v>
      </c>
    </row>
    <row r="35" spans="2:14" x14ac:dyDescent="0.35">
      <c r="B35" s="3" t="s">
        <v>8</v>
      </c>
      <c r="C35" s="4">
        <v>1920</v>
      </c>
      <c r="D35" s="6">
        <v>96</v>
      </c>
      <c r="F35" s="3" t="s">
        <v>8</v>
      </c>
      <c r="G35" s="4">
        <v>1801</v>
      </c>
      <c r="J35" s="14" t="s">
        <v>343</v>
      </c>
      <c r="K35" s="21">
        <f>IFERROR(K32/K34,0)</f>
        <v>0.4310850439882698</v>
      </c>
    </row>
    <row r="36" spans="2:14" x14ac:dyDescent="0.35">
      <c r="B36" s="3" t="s">
        <v>9</v>
      </c>
      <c r="C36" s="4">
        <v>1960</v>
      </c>
      <c r="D36" s="6">
        <v>98</v>
      </c>
      <c r="F36" s="3" t="s">
        <v>9</v>
      </c>
      <c r="G36" s="4">
        <v>5388</v>
      </c>
      <c r="J36" s="14" t="s">
        <v>344</v>
      </c>
      <c r="K36" s="21">
        <f>IFERROR(K33/K34,0)</f>
        <v>0.56891495601173026</v>
      </c>
    </row>
    <row r="37" spans="2:14" x14ac:dyDescent="0.35">
      <c r="B37" s="3" t="s">
        <v>6</v>
      </c>
      <c r="C37" s="4">
        <v>3880</v>
      </c>
      <c r="D37" s="6">
        <v>194</v>
      </c>
      <c r="F37" s="3" t="s">
        <v>6</v>
      </c>
      <c r="G37" s="4">
        <v>7633</v>
      </c>
      <c r="J37" s="15" t="s">
        <v>345</v>
      </c>
      <c r="K37" s="15">
        <f>GETPIVOTDATA("Qtd. Assinaturas",$B$25)</f>
        <v>98</v>
      </c>
    </row>
    <row r="38" spans="2:14" x14ac:dyDescent="0.35">
      <c r="J38" s="14" t="s">
        <v>346</v>
      </c>
      <c r="K38" s="25">
        <f>GETPIVOTDATA("Qtd. Assinaturas",$B$34)</f>
        <v>194</v>
      </c>
    </row>
    <row r="39" spans="2:14" x14ac:dyDescent="0.35">
      <c r="B39" s="23" t="s">
        <v>320</v>
      </c>
      <c r="C39" s="23"/>
      <c r="D39" s="18"/>
      <c r="F39" s="11" t="s">
        <v>326</v>
      </c>
      <c r="G39" s="11"/>
      <c r="H39" s="11"/>
      <c r="J39" s="36" t="s">
        <v>361</v>
      </c>
      <c r="K39" s="37" t="str">
        <f>IF(K32&gt;K33,"EA Play",IF(K33&gt;K32,"Minecraft","Empate"))</f>
        <v>Minecraft</v>
      </c>
    </row>
    <row r="41" spans="2:14" x14ac:dyDescent="0.35">
      <c r="B41" s="5" t="s">
        <v>0</v>
      </c>
      <c r="C41" t="s">
        <v>314</v>
      </c>
      <c r="F41" s="5" t="s">
        <v>12</v>
      </c>
      <c r="G41" t="s">
        <v>314</v>
      </c>
      <c r="J41" s="11" t="s">
        <v>347</v>
      </c>
      <c r="K41" s="11"/>
    </row>
    <row r="43" spans="2:14" x14ac:dyDescent="0.35">
      <c r="B43" s="5" t="s">
        <v>2</v>
      </c>
      <c r="C43" t="s">
        <v>323</v>
      </c>
      <c r="F43" s="5" t="s">
        <v>2</v>
      </c>
      <c r="G43" t="s">
        <v>331</v>
      </c>
      <c r="J43" s="12" t="s">
        <v>306</v>
      </c>
      <c r="K43" s="12" t="s">
        <v>307</v>
      </c>
      <c r="M43" s="12" t="s">
        <v>306</v>
      </c>
      <c r="N43" s="12" t="s">
        <v>363</v>
      </c>
    </row>
    <row r="44" spans="2:14" x14ac:dyDescent="0.35">
      <c r="B44" s="3" t="s">
        <v>7</v>
      </c>
      <c r="C44" s="6">
        <v>101</v>
      </c>
      <c r="D44" s="6"/>
      <c r="F44" s="3" t="s">
        <v>23</v>
      </c>
      <c r="G44" s="4">
        <v>3571</v>
      </c>
      <c r="J44" s="13" t="s">
        <v>348</v>
      </c>
      <c r="K44" s="16">
        <v>8500</v>
      </c>
      <c r="M44" s="14" t="s">
        <v>364</v>
      </c>
      <c r="N44" s="39">
        <f>$K$46</f>
        <v>0.89800000000000002</v>
      </c>
    </row>
    <row r="45" spans="2:14" x14ac:dyDescent="0.35">
      <c r="B45" s="3" t="s">
        <v>8</v>
      </c>
      <c r="C45" s="6">
        <v>96</v>
      </c>
      <c r="D45" s="6"/>
      <c r="F45" s="3" t="s">
        <v>27</v>
      </c>
      <c r="G45" s="4">
        <v>2308</v>
      </c>
      <c r="J45" s="14" t="s">
        <v>349</v>
      </c>
      <c r="K45" s="26">
        <f>K10</f>
        <v>7633</v>
      </c>
      <c r="M45" s="14" t="s">
        <v>365</v>
      </c>
      <c r="N45" s="39">
        <f>$K$49</f>
        <v>0.83615819209039544</v>
      </c>
    </row>
    <row r="46" spans="2:14" x14ac:dyDescent="0.35">
      <c r="B46" s="3" t="s">
        <v>9</v>
      </c>
      <c r="C46" s="6">
        <v>98</v>
      </c>
      <c r="D46" s="6"/>
      <c r="F46" s="3" t="s">
        <v>1</v>
      </c>
      <c r="G46" s="4">
        <v>1754</v>
      </c>
      <c r="J46" s="14" t="s">
        <v>350</v>
      </c>
      <c r="K46" s="27">
        <f>IFERROR(K45/K44,0)</f>
        <v>0.89800000000000002</v>
      </c>
    </row>
    <row r="47" spans="2:14" x14ac:dyDescent="0.35">
      <c r="B47" s="3" t="s">
        <v>6</v>
      </c>
      <c r="C47" s="6">
        <v>295</v>
      </c>
      <c r="D47" s="6"/>
      <c r="F47" s="3" t="s">
        <v>6</v>
      </c>
      <c r="G47" s="4">
        <v>7633</v>
      </c>
      <c r="J47" s="14" t="s">
        <v>351</v>
      </c>
      <c r="K47" s="27">
        <v>0.6</v>
      </c>
    </row>
    <row r="48" spans="2:14" x14ac:dyDescent="0.35">
      <c r="J48" s="14" t="s">
        <v>352</v>
      </c>
      <c r="K48" s="27">
        <f>K13</f>
        <v>0.50169491525423726</v>
      </c>
    </row>
    <row r="49" spans="10:11" x14ac:dyDescent="0.35">
      <c r="J49" s="29" t="s">
        <v>353</v>
      </c>
      <c r="K49" s="27">
        <f>IFERROR(K48/K47,0)</f>
        <v>0.83615819209039544</v>
      </c>
    </row>
    <row r="50" spans="10:11" x14ac:dyDescent="0.35">
      <c r="J50" s="28" t="s">
        <v>354</v>
      </c>
      <c r="K50" s="26">
        <f>MAX(0,K44-K45)</f>
        <v>867</v>
      </c>
    </row>
    <row r="51" spans="10:11" x14ac:dyDescent="0.35">
      <c r="J51" s="14" t="s">
        <v>355</v>
      </c>
      <c r="K51" s="30">
        <f>MAX(0,(K47-K48)*100)</f>
        <v>9.8305084745762716</v>
      </c>
    </row>
  </sheetData>
  <mergeCells count="11">
    <mergeCell ref="B7:H7"/>
    <mergeCell ref="J17:K17"/>
    <mergeCell ref="J29:K29"/>
    <mergeCell ref="J41:K41"/>
    <mergeCell ref="B10:D10"/>
    <mergeCell ref="B11:D11"/>
    <mergeCell ref="F10:H10"/>
    <mergeCell ref="F29:H29"/>
    <mergeCell ref="F39:H39"/>
    <mergeCell ref="F20:H20"/>
    <mergeCell ref="J7:K7"/>
  </mergeCells>
  <pageMargins left="0.511811024" right="0.511811024" top="0.78740157499999996" bottom="0.78740157499999996" header="0.31496062000000002" footer="0.31496062000000002"/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VISÃO GERAL</vt:lpstr>
      <vt:lpstr>VENDAS</vt:lpstr>
      <vt:lpstr>COMPLEMENTOS</vt:lpstr>
      <vt:lpstr>METAS E OKRs</vt:lpstr>
      <vt:lpstr>BASES</vt:lpstr>
      <vt:lpstr>CÁLCULOS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Camila Ribeiro</dc:creator>
  <cp:lastModifiedBy>Camila Ribeiro</cp:lastModifiedBy>
  <dcterms:created xsi:type="dcterms:W3CDTF">2026-10-19T01:51:59Z</dcterms:created>
  <dcterms:modified xsi:type="dcterms:W3CDTF">2026-10-21T00:32:34Z</dcterms:modified>
</cp:coreProperties>
</file>